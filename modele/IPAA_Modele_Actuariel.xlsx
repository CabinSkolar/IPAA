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Modèle_30ans" sheetId="2" state="visible" r:id="rId4"/>
    <sheet name="Impact_Déci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<sst xmlns="http://schemas.openxmlformats.org/spreadsheetml/2006/main" count="189" uniqueCount="142">
  <si>
    <t xml:space="preserve">IPAA — HYPOTHÈSES DU MODÈLE  |  Cabin Skolar 2025</t>
  </si>
  <si>
    <t xml:space="preserve">Valeurs en bleu = modifiables · Les feuilles de calcul utilisent les valeurs directement</t>
  </si>
  <si>
    <t xml:space="preserve">MACRO-ÉCONOMIQUE</t>
  </si>
  <si>
    <t xml:space="preserve">PIB 2025 (Md€)</t>
  </si>
  <si>
    <t xml:space="preserve">INSEE 2025</t>
  </si>
  <si>
    <t xml:space="preserve">Croissance productivité/an</t>
  </si>
  <si>
    <t xml:space="preserve">COR 2025 scénario B</t>
  </si>
  <si>
    <t xml:space="preserve">Inflation cible</t>
  </si>
  <si>
    <t xml:space="preserve">BCE objectif 2%</t>
  </si>
  <si>
    <t xml:space="preserve">Taux chômage structurel</t>
  </si>
  <si>
    <t xml:space="preserve">COR 2025 — 7%</t>
  </si>
  <si>
    <t xml:space="preserve">Part masse salariale / PIB</t>
  </si>
  <si>
    <t xml:space="preserve">INSEE 2024</t>
  </si>
  <si>
    <t xml:space="preserve">SYSTÈME RETRAITE — ÉTAT INITIAL</t>
  </si>
  <si>
    <t xml:space="preserve">Dépenses retraite 2025 (Md€)</t>
  </si>
  <si>
    <t xml:space="preserve">DREES 2024</t>
  </si>
  <si>
    <t xml:space="preserve">Recettes cotisations 2025 (Md€)</t>
  </si>
  <si>
    <t xml:space="preserve">Taux cotisation socle τ₀</t>
  </si>
  <si>
    <t xml:space="preserve">Taux effectif moyen</t>
  </si>
  <si>
    <t xml:space="preserve">Taux exonérations non compensées</t>
  </si>
  <si>
    <t xml:space="preserve">DREES estimé 6,5%</t>
  </si>
  <si>
    <t xml:space="preserve">DÉMOGRAPHIE</t>
  </si>
  <si>
    <t xml:space="preserve">Ratio actifs/retraités 2025</t>
  </si>
  <si>
    <t xml:space="preserve">COR 2025 / INSEE</t>
  </si>
  <si>
    <t xml:space="preserve">Ratio 2040 — scénario central</t>
  </si>
  <si>
    <t xml:space="preserve">Ratio 2050 — scénario central</t>
  </si>
  <si>
    <t xml:space="preserve">Ratio 2040 — scénario bas (R1)</t>
  </si>
  <si>
    <t xml:space="preserve">COR 2025 scénario C</t>
  </si>
  <si>
    <t xml:space="preserve">Ratio 2050 — scénario bas (R1)</t>
  </si>
  <si>
    <t xml:space="preserve">FRR</t>
  </si>
  <si>
    <t xml:space="preserve">Actifs FRR 2025 (Md€)</t>
  </si>
  <si>
    <t xml:space="preserve">FRR Rapport 2023</t>
  </si>
  <si>
    <t xml:space="preserve">Part socle souverain</t>
  </si>
  <si>
    <t xml:space="preserve">30% intouchable — convention modèle</t>
  </si>
  <si>
    <t xml:space="preserve">Rendement central (r_frr)</t>
  </si>
  <si>
    <t xml:space="preserve">V2 révisé — 5% contraintes prudentielles FR</t>
  </si>
  <si>
    <t xml:space="preserve">Rendement optimiste (si réforme gouv.)</t>
  </si>
  <si>
    <t xml:space="preserve">Conditionnel — type RPC Canada 9,1%</t>
  </si>
  <si>
    <t xml:space="preserve">Rendement bas — stress R3</t>
  </si>
  <si>
    <t xml:space="preserve">Stress test type 2008-2018</t>
  </si>
  <si>
    <t xml:space="preserve">CFРР (% actifs FRR)</t>
  </si>
  <si>
    <t xml:space="preserve">Capacité lissage annuelle — CETP</t>
  </si>
  <si>
    <t xml:space="preserve">Taux réinvestissement rendements</t>
  </si>
  <si>
    <t xml:space="preserve">70% réinvestis — 30% réserve lissage</t>
  </si>
  <si>
    <t xml:space="preserve">PARAMÈTRES AC-IPAA</t>
  </si>
  <si>
    <t xml:space="preserve">Plafond ∆τ annuel (pts cotisation)</t>
  </si>
  <si>
    <t xml:space="preserve">0,1 pt/an max — proposition CETP</t>
  </si>
  <si>
    <t xml:space="preserve">∆τ accumulé maximum absolu</t>
  </si>
  <si>
    <t xml:space="preserve">2 pts sur toute la durée</t>
  </si>
  <si>
    <t xml:space="preserve">Marge sécurité S_cible (% PIB)</t>
  </si>
  <si>
    <t xml:space="preserve">0,1% PIB — cible léger excédent</t>
  </si>
  <si>
    <t xml:space="preserve">Absorption péréquation N0 (% EReq)</t>
  </si>
  <si>
    <t xml:space="preserve">Estimation — 20% absorbé par N0</t>
  </si>
  <si>
    <t xml:space="preserve">Taux actualisation EReq</t>
  </si>
  <si>
    <t xml:space="preserve">Convention modèle</t>
  </si>
  <si>
    <t xml:space="preserve">NOUVELLES ASSIETTES</t>
  </si>
  <si>
    <t xml:space="preserve">Cotisation plateformes numériques (Md€/an)</t>
  </si>
  <si>
    <t xml:space="preserve">1-1,5% CA plateformes en FR</t>
  </si>
  <si>
    <t xml:space="preserve">Cotisation capital phase active (Md€/an)</t>
  </si>
  <si>
    <t xml:space="preserve">0,5-1% revenus PEA/AV</t>
  </si>
  <si>
    <t xml:space="preserve">Contribution différée exonérations (Md€/an)</t>
  </si>
  <si>
    <t xml:space="preserve">15-20% économie réalisée → FRR</t>
  </si>
  <si>
    <t xml:space="preserve">DÉCILE — Revenu médian net/mois (€) — βi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</si>
  <si>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</si>
  <si>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</si>
  <si>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</si>
  <si>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</si>
  <si>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</si>
  <si>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</si>
  <si>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</si>
  <si>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</si>
  <si>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</si>
  <si>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</si>
  <si>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IPAA — MODÈLE DYNAMIQUE 30 ANS  |  Cabin Skolar 2025  |  Sources: COR 2025, INSEE, DREES, FRR</t>
  </si>
  <si>
    <t xml:space="preserve">Indicateur</t>
  </si>
  <si>
    <t xml:space="preserve">Unité</t>
  </si>
  <si>
    <t xml:space="preserve">A. CROISSANCE ÉCONOMIQUE</t>
  </si>
  <si>
    <t xml:space="preserve">PIB France</t>
  </si>
  <si>
    <t xml:space="preserve">Md€</t>
  </si>
  <si>
    <t xml:space="preserve">Masse salariale M(t)</t>
  </si>
  <si>
    <t xml:space="preserve">B. DÉMOGRAPHIE — RATIO ACTIFS/RETRAITÉS</t>
  </si>
  <si>
    <t xml:space="preserve">Ratio actifs/retraités — central</t>
  </si>
  <si>
    <t xml:space="preserve">ratio</t>
  </si>
  <si>
    <t xml:space="preserve">Ratio actifs/retraités — bas (R1)</t>
  </si>
  <si>
    <t xml:space="preserve">C. SYSTÈME DE RETRAITE — SANS IPAA</t>
  </si>
  <si>
    <t xml:space="preserve">Dépenses retraite D(t)</t>
  </si>
  <si>
    <t xml:space="preserve">Recettes cotisations R(t) sans IPAA</t>
  </si>
  <si>
    <t xml:space="preserve">Solde structurel Δ(t) = R − D</t>
  </si>
  <si>
    <t xml:space="preserve">Solde en % du PIB — SANS IPAA</t>
  </si>
  <si>
    <t xml:space="preserve">%PIB</t>
  </si>
  <si>
    <t xml:space="preserve">EReq(t) = déficit moyen actualisé N+5 + S_cible</t>
  </si>
  <si>
    <t xml:space="preserve">D. NOUVELLES ASSIETTES A_nouvelles(t)</t>
  </si>
  <si>
    <t xml:space="preserve">Nouvelles assiettes A_nouvelles(t)</t>
  </si>
  <si>
    <t xml:space="preserve">E. FONDS DE RÉSERVE (FRR) — 3 COMPARTIMENTS</t>
  </si>
  <si>
    <t xml:space="preserve">Socle souverain (intouchable)</t>
  </si>
  <si>
    <t xml:space="preserve">Capital croissance (compartiment dynamique)</t>
  </si>
  <si>
    <t xml:space="preserve">FRR TOTAL</t>
  </si>
  <si>
    <t xml:space="preserve">CFРР disponible (capacité lissage)</t>
  </si>
  <si>
    <t xml:space="preserve">FRR scénario bas — rendement 2% (R3)</t>
  </si>
  <si>
    <t xml:space="preserve">F. MODULE AC-IPAA — CALCUL SÉQUENTIEL 4 NIVEAUX</t>
  </si>
  <si>
    <t xml:space="preserve">Absorption N0 — Péréquation inter-caisses</t>
  </si>
  <si>
    <t xml:space="preserve">Résidu après N0</t>
  </si>
  <si>
    <t xml:space="preserve">Absorption N1 — FRR lissage</t>
  </si>
  <si>
    <t xml:space="preserve">Résidu après N1</t>
  </si>
  <si>
    <t xml:space="preserve">Assiette élargie A_élargie(t)</t>
  </si>
  <si>
    <t xml:space="preserve">∆τ brut calculé</t>
  </si>
  <si>
    <t xml:space="preserve">pts cot.</t>
  </si>
  <si>
    <t xml:space="preserve">∆τ(t) effectif après plafond légal</t>
  </si>
  <si>
    <t xml:space="preserve">∆τ accumulé total (plafonné)</t>
  </si>
  <si>
    <t xml:space="preserve">Recettes générées par ∆τ</t>
  </si>
  <si>
    <t xml:space="preserve">Clause sauvegarde N3 — excès non couvert</t>
  </si>
  <si>
    <t xml:space="preserve">Statut clause sauvegarde</t>
  </si>
  <si>
    <t xml:space="preserve">G. RÉSULTATS — SOLDE AVEC IPAA</t>
  </si>
  <si>
    <t xml:space="preserve">Solde avec IPAA</t>
  </si>
  <si>
    <t xml:space="preserve">Solde IPAA en % du PIB</t>
  </si>
  <si>
    <t xml:space="preserve">GAIN IPAA (pts PIB)</t>
  </si>
  <si>
    <t xml:space="preserve">H. INDICATEURS DE CONVERGENCE</t>
  </si>
  <si>
    <t xml:space="preserve">I1 — Convergence solde (cible ≥ 0% PIB)</t>
  </si>
  <si>
    <t xml:space="preserve">I2 — Solvabilité FRR (cible ≥ 0,5x)</t>
  </si>
  <si>
    <t xml:space="preserve">I3 — Effort ∆τ/plafond absolu (alerte ≥ 80%)</t>
  </si>
  <si>
    <t xml:space="preserve">STATUT GLOBAL SYSTÈME</t>
  </si>
  <si>
    <t xml:space="preserve">I. SCÉNARIOS DE RISQUE (STRESS TESTS)</t>
  </si>
  <si>
    <t xml:space="preserve">R1 — Solde avec ratio démographique bas</t>
  </si>
  <si>
    <t xml:space="preserve">R2 — Recettes avec exonérations +50%</t>
  </si>
  <si>
    <t xml:space="preserve">R2 — Solde avec pression exonérations</t>
  </si>
  <si>
    <t xml:space="preserve">R3 — FRR scénario rendement 2%</t>
  </si>
  <si>
    <t xml:space="preserve">R4 — PIB en récession (2030-2032)</t>
  </si>
  <si>
    <t xml:space="preserve">R4 — Recettes en récession</t>
  </si>
  <si>
    <t xml:space="preserve">R5 — WORST CASE cumul R1+R2+R4</t>
  </si>
  <si>
    <t xml:space="preserve">R5 — Statut rupture structurelle</t>
  </si>
  <si>
    <t xml:space="preserve">IMPACT ∆τ PAR DÉCILE — Référence : ∆τ accumulé à l'année sélectionnée</t>
  </si>
  <si>
    <t xml:space="preserve">Année de référence pour ∆τ :</t>
  </si>
  <si>
    <t xml:space="preserve">← Modifier pour voir l'impact à une autre année</t>
  </si>
  <si>
    <t xml:space="preserve">∆τ accumulé à l'année de référence :</t>
  </si>
  <si>
    <t xml:space="preserve">Décile</t>
  </si>
  <si>
    <t xml:space="preserve">Revenu médian (€/mois)</t>
  </si>
  <si>
    <t xml:space="preserve">βi</t>
  </si>
  <si>
    <t xml:space="preserve">∆τ global</t>
  </si>
  <si>
    <t xml:space="preserve">∆τi par décile</t>
  </si>
  <si>
    <t xml:space="preserve">Impact mensuel (€)</t>
  </si>
  <si>
    <t xml:space="preserve">% du revenu net</t>
  </si>
  <si>
    <t xml:space="preserve">Note : modifier C2 pour voir l'impact à n'importe quelle année 2025-2055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</si>
</sst>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#,##0.0"/>
    <numFmt numFmtId="168" formatCode="0.000"/>
    <numFmt numFmtId="169" formatCode="0.000%"/>
    <numFmt numFmtId="170" formatCode="0%"/>
    <numFmt numFmtId="171" formatCode="@"/>
    <numFmt numFmtId="172" formatCode="0.00"/>
    <numFmt numFmtId="173" formatCode="#,##0.0;\(#,##0.0\);\-"/>
    <numFmt numFmtId="174" formatCode="0.00%;\(0.00%\);\-"/>
    <numFmt numFmtId="175" formatCode="#,##0.0;\-;\-"/>
    <numFmt numFmtId="176" formatCode="0.00\x"/>
    <numFmt numFmtId="177" formatCode="0"/>
    <numFmt numFmtId="178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8"/>
      <color rgb="FF6B5E5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5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1A1510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2D6A4F"/>
      <name val="Arial"/>
      <family val="0"/>
      <charset val="1"/>
    </font>
    <font>
      <sz val="10"/>
      <color rgb="FF1A15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510"/>
        <bgColor rgb="FF000000"/>
      </patternFill>
    </fill>
    <fill>
      <patternFill patternType="solid">
        <fgColor rgb="FF7D3020"/>
        <bgColor rgb="FF993366"/>
      </patternFill>
    </fill>
    <fill>
      <patternFill patternType="solid">
        <fgColor rgb="FFF2EDE6"/>
        <bgColor rgb="FFF0E0D8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2EDE6"/>
      </patternFill>
    </fill>
    <fill>
      <patternFill patternType="solid">
        <fgColor rgb="FFF0E0D8"/>
        <bgColor rgb="FFF2EDE6"/>
      </patternFill>
    </fill>
    <fill>
      <patternFill patternType="solid">
        <fgColor rgb="FFFFFFFF"/>
        <bgColor rgb="FFF2EDE6"/>
      </patternFill>
    </fill>
    <fill>
      <patternFill patternType="solid">
        <fgColor rgb="FF606060"/>
        <bgColor rgb="FF6B5E54"/>
      </patternFill>
    </fill>
    <fill>
      <patternFill patternType="solid">
        <fgColor rgb="FF2D6A4F"/>
        <bgColor rgb="FF6060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C6"/>
      </left>
      <right style="thin">
        <color rgb="FFD8CFC6"/>
      </right>
      <top style="thin">
        <color rgb="FFD8CFC6"/>
      </top>
      <bottom style="thin">
        <color rgb="FFD8CF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8CFC6"/>
      <rgbColor rgb="FF6B5E54"/>
      <rgbColor rgb="FF9999FF"/>
      <rgbColor rgb="FF993366"/>
      <rgbColor rgb="FFFEF3C7"/>
      <rgbColor rgb="FFF2ED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0E0D8"/>
      <rgbColor rgb="FF3366FF"/>
      <rgbColor rgb="FF33CCCC"/>
      <rgbColor rgb="FF99CC00"/>
      <rgbColor rgb="FFFFCC00"/>
      <rgbColor rgb="FFFF9900"/>
      <rgbColor rgb="FFE07800"/>
      <rgbColor rgb="FF606060"/>
      <rgbColor rgb="FF969696"/>
      <rgbColor rgb="FF003366"/>
      <rgbColor rgb="FF339966"/>
      <rgbColor rgb="FF003300"/>
      <rgbColor rgb="FF1A1510"/>
      <rgbColor rgb="FF7D30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020"/>
    <pageSetUpPr fitToPage="false"/>
  </sheetPr>
  <dimension ref="B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4" customFormat="false" ht="15.75" hidden="false" customHeight="true" outlineLevel="0" collapsed="false">
      <c r="B4" s="3" t="s">
        <v>2</v>
      </c>
      <c r="C4" s="3"/>
      <c r="D4" s="3"/>
    </row>
    <row r="5" customFormat="false" ht="15" hidden="false" customHeight="true" outlineLevel="0" collapsed="false">
      <c r="B5" s="4" t="s">
        <v>3</v>
      </c>
      <c r="C5" s="5" t="n">
        <v>2900</v>
      </c>
      <c r="D5" s="6" t="s">
        <v>4</v>
      </c>
    </row>
    <row r="6" customFormat="false" ht="15" hidden="false" customHeight="true" outlineLevel="0" collapsed="false">
      <c r="B6" s="4" t="s">
        <v>5</v>
      </c>
      <c r="C6" s="7" t="n">
        <v>0.007</v>
      </c>
      <c r="D6" s="6" t="s">
        <v>6</v>
      </c>
    </row>
    <row r="7" customFormat="false" ht="15" hidden="false" customHeight="true" outlineLevel="0" collapsed="false">
      <c r="B7" s="4" t="s">
        <v>7</v>
      </c>
      <c r="C7" s="7" t="n">
        <v>0.02</v>
      </c>
      <c r="D7" s="6" t="s">
        <v>8</v>
      </c>
    </row>
    <row r="8" customFormat="false" ht="15" hidden="false" customHeight="true" outlineLevel="0" collapsed="false">
      <c r="B8" s="4" t="s">
        <v>9</v>
      </c>
      <c r="C8" s="7" t="n">
        <v>0.07</v>
      </c>
      <c r="D8" s="6" t="s">
        <v>10</v>
      </c>
    </row>
    <row r="9" customFormat="false" ht="15" hidden="false" customHeight="true" outlineLevel="0" collapsed="false">
      <c r="B9" s="4" t="s">
        <v>11</v>
      </c>
      <c r="C9" s="7" t="n">
        <v>0.542</v>
      </c>
      <c r="D9" s="6" t="s">
        <v>12</v>
      </c>
    </row>
    <row r="10" customFormat="false" ht="15.75" hidden="false" customHeight="true" outlineLevel="0" collapsed="false">
      <c r="B10" s="3" t="s">
        <v>13</v>
      </c>
      <c r="C10" s="3"/>
      <c r="D10" s="3"/>
    </row>
    <row r="11" customFormat="false" ht="15" hidden="false" customHeight="true" outlineLevel="0" collapsed="false">
      <c r="B11" s="4" t="s">
        <v>14</v>
      </c>
      <c r="C11" s="8" t="n">
        <v>345</v>
      </c>
      <c r="D11" s="6" t="s">
        <v>15</v>
      </c>
    </row>
    <row r="12" customFormat="false" ht="15" hidden="false" customHeight="true" outlineLevel="0" collapsed="false">
      <c r="B12" s="4" t="s">
        <v>16</v>
      </c>
      <c r="C12" s="8" t="n">
        <v>330.5</v>
      </c>
      <c r="D12" s="6" t="s">
        <v>15</v>
      </c>
    </row>
    <row r="13" customFormat="false" ht="15" hidden="false" customHeight="true" outlineLevel="0" collapsed="false">
      <c r="B13" s="4" t="s">
        <v>17</v>
      </c>
      <c r="C13" s="7" t="n">
        <v>0.28</v>
      </c>
      <c r="D13" s="6" t="s">
        <v>18</v>
      </c>
    </row>
    <row r="14" customFormat="false" ht="15" hidden="false" customHeight="true" outlineLevel="0" collapsed="false">
      <c r="B14" s="4" t="s">
        <v>19</v>
      </c>
      <c r="C14" s="7" t="n">
        <v>0.065</v>
      </c>
      <c r="D14" s="6" t="s">
        <v>20</v>
      </c>
    </row>
    <row r="15" customFormat="false" ht="15.75" hidden="false" customHeight="true" outlineLevel="0" collapsed="false">
      <c r="B15" s="3" t="s">
        <v>21</v>
      </c>
      <c r="C15" s="3"/>
      <c r="D15" s="3"/>
    </row>
    <row r="16" customFormat="false" ht="15" hidden="false" customHeight="true" outlineLevel="0" collapsed="false">
      <c r="B16" s="4" t="s">
        <v>22</v>
      </c>
      <c r="C16" s="9" t="n">
        <v>1.7</v>
      </c>
      <c r="D16" s="6" t="s">
        <v>23</v>
      </c>
    </row>
    <row r="17" customFormat="false" ht="15" hidden="false" customHeight="true" outlineLevel="0" collapsed="false">
      <c r="B17" s="4" t="s">
        <v>24</v>
      </c>
      <c r="C17" s="9" t="n">
        <v>1.5</v>
      </c>
      <c r="D17" s="6" t="s">
        <v>6</v>
      </c>
    </row>
    <row r="18" customFormat="false" ht="15" hidden="false" customHeight="true" outlineLevel="0" collapsed="false">
      <c r="B18" s="4" t="s">
        <v>25</v>
      </c>
      <c r="C18" s="9" t="n">
        <v>1.42</v>
      </c>
      <c r="D18" s="6" t="s">
        <v>6</v>
      </c>
    </row>
    <row r="19" customFormat="false" ht="15" hidden="false" customHeight="true" outlineLevel="0" collapsed="false">
      <c r="B19" s="4" t="s">
        <v>26</v>
      </c>
      <c r="C19" s="9" t="n">
        <v>1.38</v>
      </c>
      <c r="D19" s="6" t="s">
        <v>27</v>
      </c>
    </row>
    <row r="20" customFormat="false" ht="15" hidden="false" customHeight="true" outlineLevel="0" collapsed="false">
      <c r="B20" s="4" t="s">
        <v>28</v>
      </c>
      <c r="C20" s="9" t="n">
        <v>1.25</v>
      </c>
      <c r="D20" s="6" t="s">
        <v>27</v>
      </c>
    </row>
    <row r="21" customFormat="false" ht="15.75" hidden="false" customHeight="true" outlineLevel="0" collapsed="false">
      <c r="B21" s="3" t="s">
        <v>29</v>
      </c>
      <c r="C21" s="3"/>
      <c r="D21" s="3"/>
    </row>
    <row r="22" customFormat="false" ht="15" hidden="false" customHeight="true" outlineLevel="0" collapsed="false">
      <c r="B22" s="4" t="s">
        <v>30</v>
      </c>
      <c r="C22" s="8" t="n">
        <v>26.2</v>
      </c>
      <c r="D22" s="6" t="s">
        <v>31</v>
      </c>
    </row>
    <row r="23" customFormat="false" ht="15" hidden="false" customHeight="true" outlineLevel="0" collapsed="false">
      <c r="B23" s="4" t="s">
        <v>32</v>
      </c>
      <c r="C23" s="7" t="n">
        <v>0.3</v>
      </c>
      <c r="D23" s="6" t="s">
        <v>33</v>
      </c>
    </row>
    <row r="24" customFormat="false" ht="15" hidden="false" customHeight="true" outlineLevel="0" collapsed="false">
      <c r="B24" s="4" t="s">
        <v>34</v>
      </c>
      <c r="C24" s="7" t="n">
        <v>0.05</v>
      </c>
      <c r="D24" s="6" t="s">
        <v>35</v>
      </c>
    </row>
    <row r="25" customFormat="false" ht="15" hidden="false" customHeight="true" outlineLevel="0" collapsed="false">
      <c r="B25" s="4" t="s">
        <v>36</v>
      </c>
      <c r="C25" s="7" t="n">
        <v>0.075</v>
      </c>
      <c r="D25" s="6" t="s">
        <v>37</v>
      </c>
    </row>
    <row r="26" customFormat="false" ht="15" hidden="false" customHeight="true" outlineLevel="0" collapsed="false">
      <c r="B26" s="4" t="s">
        <v>38</v>
      </c>
      <c r="C26" s="7" t="n">
        <v>0.02</v>
      </c>
      <c r="D26" s="6" t="s">
        <v>39</v>
      </c>
    </row>
    <row r="27" customFormat="false" ht="15" hidden="false" customHeight="true" outlineLevel="0" collapsed="false">
      <c r="B27" s="4" t="s">
        <v>40</v>
      </c>
      <c r="C27" s="7" t="n">
        <v>0.1</v>
      </c>
      <c r="D27" s="6" t="s">
        <v>41</v>
      </c>
    </row>
    <row r="28" customFormat="false" ht="15" hidden="false" customHeight="true" outlineLevel="0" collapsed="false">
      <c r="B28" s="4" t="s">
        <v>42</v>
      </c>
      <c r="C28" s="7" t="n">
        <v>0.7</v>
      </c>
      <c r="D28" s="6" t="s">
        <v>43</v>
      </c>
    </row>
    <row r="29" customFormat="false" ht="15.75" hidden="false" customHeight="true" outlineLevel="0" collapsed="false">
      <c r="B29" s="3" t="s">
        <v>44</v>
      </c>
      <c r="C29" s="3"/>
      <c r="D29" s="3"/>
    </row>
    <row r="30" customFormat="false" ht="15" hidden="false" customHeight="true" outlineLevel="0" collapsed="false">
      <c r="B30" s="4" t="s">
        <v>45</v>
      </c>
      <c r="C30" s="10" t="n">
        <v>0.001</v>
      </c>
      <c r="D30" s="6" t="s">
        <v>46</v>
      </c>
    </row>
    <row r="31" customFormat="false" ht="15" hidden="false" customHeight="true" outlineLevel="0" collapsed="false">
      <c r="B31" s="4" t="s">
        <v>47</v>
      </c>
      <c r="C31" s="10" t="n">
        <v>0.02</v>
      </c>
      <c r="D31" s="6" t="s">
        <v>48</v>
      </c>
    </row>
    <row r="32" customFormat="false" ht="15" hidden="false" customHeight="true" outlineLevel="0" collapsed="false">
      <c r="B32" s="4" t="s">
        <v>49</v>
      </c>
      <c r="C32" s="7" t="n">
        <v>0.001</v>
      </c>
      <c r="D32" s="6" t="s">
        <v>50</v>
      </c>
    </row>
    <row r="33" customFormat="false" ht="15" hidden="false" customHeight="true" outlineLevel="0" collapsed="false">
      <c r="B33" s="4" t="s">
        <v>51</v>
      </c>
      <c r="C33" s="11" t="n">
        <v>0.2</v>
      </c>
      <c r="D33" s="6" t="s">
        <v>52</v>
      </c>
    </row>
    <row r="34" customFormat="false" ht="15" hidden="false" customHeight="true" outlineLevel="0" collapsed="false">
      <c r="B34" s="4" t="s">
        <v>53</v>
      </c>
      <c r="C34" s="7" t="n">
        <v>0.02</v>
      </c>
      <c r="D34" s="6" t="s">
        <v>54</v>
      </c>
    </row>
    <row r="35" customFormat="false" ht="15.75" hidden="false" customHeight="true" outlineLevel="0" collapsed="false">
      <c r="B35" s="3" t="s">
        <v>55</v>
      </c>
      <c r="C35" s="3"/>
      <c r="D35" s="3"/>
    </row>
    <row r="36" customFormat="false" ht="15" hidden="false" customHeight="true" outlineLevel="0" collapsed="false">
      <c r="B36" s="4" t="s">
        <v>56</v>
      </c>
      <c r="C36" s="8" t="n">
        <v>1.1</v>
      </c>
      <c r="D36" s="6" t="s">
        <v>57</v>
      </c>
    </row>
    <row r="37" customFormat="false" ht="15" hidden="false" customHeight="true" outlineLevel="0" collapsed="false">
      <c r="B37" s="4" t="s">
        <v>58</v>
      </c>
      <c r="C37" s="8" t="n">
        <v>0.6</v>
      </c>
      <c r="D37" s="6" t="s">
        <v>59</v>
      </c>
    </row>
    <row r="38" customFormat="false" ht="15" hidden="false" customHeight="true" outlineLevel="0" collapsed="false">
      <c r="B38" s="4" t="s">
        <v>60</v>
      </c>
      <c r="C38" s="8" t="n">
        <v>1.8</v>
      </c>
      <c r="D38" s="6" t="s">
        <v>61</v>
      </c>
    </row>
    <row r="39" customFormat="false" ht="15.75" hidden="false" customHeight="true" outlineLevel="0" collapsed="false">
      <c r="B39" s="3" t="s">
        <v>62</v>
      </c>
      <c r="C39" s="3"/>
      <c r="D39" s="3"/>
    </row>
    <row r="40" customFormat="false" ht="15" hidden="false" customHeight="false" outlineLevel="0" collapsed="false">
      <c r="B40" s="12" t="s">
        <v>63</v>
      </c>
      <c r="C40" s="13" t="n">
        <v>800</v>
      </c>
      <c r="D40" s="14" t="n">
        <v>0</v>
      </c>
    </row>
    <row r="41" customFormat="false" ht="15" hidden="false" customHeight="false" outlineLevel="0" collapsed="false">
      <c r="B41" s="12" t="s">
        <v>64</v>
      </c>
      <c r="C41" s="13" t="n">
        <v>1100</v>
      </c>
      <c r="D41" s="14" t="n">
        <v>0</v>
      </c>
    </row>
    <row r="42" customFormat="false" ht="15" hidden="false" customHeight="false" outlineLevel="0" collapsed="false">
      <c r="B42" s="12" t="s">
        <v>65</v>
      </c>
      <c r="C42" s="13" t="n">
        <v>1350</v>
      </c>
      <c r="D42" s="14" t="n">
        <v>0</v>
      </c>
    </row>
    <row r="43" customFormat="false" ht="15" hidden="false" customHeight="false" outlineLevel="0" collapsed="false">
      <c r="B43" s="12" t="s">
        <v>66</v>
      </c>
      <c r="C43" s="13" t="n">
        <v>1580</v>
      </c>
      <c r="D43" s="14" t="n">
        <v>0</v>
      </c>
    </row>
    <row r="44" customFormat="false" ht="15" hidden="false" customHeight="false" outlineLevel="0" collapsed="false">
      <c r="B44" s="15" t="s">
        <v>67</v>
      </c>
      <c r="C44" s="16" t="n">
        <v>1900</v>
      </c>
      <c r="D44" s="17" t="n">
        <v>0.15</v>
      </c>
    </row>
    <row r="45" customFormat="false" ht="15" hidden="false" customHeight="false" outlineLevel="0" collapsed="false">
      <c r="B45" s="15" t="s">
        <v>68</v>
      </c>
      <c r="C45" s="16" t="n">
        <v>2350</v>
      </c>
      <c r="D45" s="17" t="n">
        <v>0.25</v>
      </c>
    </row>
    <row r="46" customFormat="false" ht="15" hidden="false" customHeight="false" outlineLevel="0" collapsed="false">
      <c r="B46" s="15" t="s">
        <v>69</v>
      </c>
      <c r="C46" s="16" t="n">
        <v>2980</v>
      </c>
      <c r="D46" s="17" t="n">
        <v>0.4</v>
      </c>
    </row>
    <row r="47" customFormat="false" ht="15" hidden="false" customHeight="false" outlineLevel="0" collapsed="false">
      <c r="B47" s="18" t="s">
        <v>70</v>
      </c>
      <c r="C47" s="19" t="n">
        <v>4100</v>
      </c>
      <c r="D47" s="20" t="n">
        <v>0.65</v>
      </c>
    </row>
    <row r="48" customFormat="false" ht="15" hidden="false" customHeight="false" outlineLevel="0" collapsed="false">
      <c r="B48" s="18" t="s">
        <v>71</v>
      </c>
      <c r="C48" s="19" t="n">
        <v>6000</v>
      </c>
      <c r="D48" s="20" t="n">
        <v>0.85</v>
      </c>
    </row>
    <row r="49" customFormat="false" ht="15" hidden="false" customHeight="false" outlineLevel="0" collapsed="false">
      <c r="B49" s="18" t="s">
        <v>72</v>
      </c>
      <c r="C49" s="19" t="n">
        <v>9500</v>
      </c>
      <c r="D49" s="20" t="n">
        <v>1.2</v>
      </c>
    </row>
  </sheetData>
  <mergeCells count="9">
    <mergeCell ref="B1:D1"/>
    <mergeCell ref="B2:D2"/>
    <mergeCell ref="B4:D4"/>
    <mergeCell ref="B10:D10"/>
    <mergeCell ref="B15:D15"/>
    <mergeCell ref="B21:D21"/>
    <mergeCell ref="B29:D29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B1:A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34" min="4" style="0" width="9"/>
  </cols>
  <sheetData>
    <row r="1" customFormat="false" ht="15" hidden="false" customHeight="false" outlineLevel="0" collapsed="false">
      <c r="B1" s="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5" hidden="false" customHeight="false" outlineLevel="0" collapsed="false">
      <c r="B2" s="21" t="s">
        <v>74</v>
      </c>
      <c r="C2" s="22" t="s">
        <v>75</v>
      </c>
      <c r="D2" s="23" t="n">
        <v>2025</v>
      </c>
      <c r="E2" s="24" t="n">
        <v>2026</v>
      </c>
      <c r="F2" s="24" t="n">
        <v>2027</v>
      </c>
      <c r="G2" s="24" t="n">
        <v>2028</v>
      </c>
      <c r="H2" s="24" t="n">
        <v>2029</v>
      </c>
      <c r="I2" s="23" t="n">
        <v>2030</v>
      </c>
      <c r="J2" s="24" t="n">
        <v>2031</v>
      </c>
      <c r="K2" s="24" t="n">
        <v>2032</v>
      </c>
      <c r="L2" s="24" t="n">
        <v>2033</v>
      </c>
      <c r="M2" s="24" t="n">
        <v>2034</v>
      </c>
      <c r="N2" s="23" t="n">
        <v>2035</v>
      </c>
      <c r="O2" s="24" t="n">
        <v>2036</v>
      </c>
      <c r="P2" s="24" t="n">
        <v>2037</v>
      </c>
      <c r="Q2" s="24" t="n">
        <v>2038</v>
      </c>
      <c r="R2" s="24" t="n">
        <v>2039</v>
      </c>
      <c r="S2" s="23" t="n">
        <v>2040</v>
      </c>
      <c r="T2" s="24" t="n">
        <v>2041</v>
      </c>
      <c r="U2" s="24" t="n">
        <v>2042</v>
      </c>
      <c r="V2" s="24" t="n">
        <v>2043</v>
      </c>
      <c r="W2" s="24" t="n">
        <v>2044</v>
      </c>
      <c r="X2" s="23" t="n">
        <v>2045</v>
      </c>
      <c r="Y2" s="24" t="n">
        <v>2046</v>
      </c>
      <c r="Z2" s="24" t="n">
        <v>2047</v>
      </c>
      <c r="AA2" s="24" t="n">
        <v>2048</v>
      </c>
      <c r="AB2" s="24" t="n">
        <v>2049</v>
      </c>
      <c r="AC2" s="23" t="n">
        <v>2050</v>
      </c>
      <c r="AD2" s="24" t="n">
        <v>2051</v>
      </c>
      <c r="AE2" s="24" t="n">
        <v>2052</v>
      </c>
      <c r="AF2" s="24" t="n">
        <v>2053</v>
      </c>
      <c r="AG2" s="24" t="n">
        <v>2054</v>
      </c>
      <c r="AH2" s="23" t="n">
        <v>2055</v>
      </c>
    </row>
    <row r="3" customFormat="false" ht="15.75" hidden="false" customHeight="true" outlineLevel="0" collapsed="false">
      <c r="B3" s="3" t="s">
        <v>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13.5" hidden="false" customHeight="true" outlineLevel="0" collapsed="false">
      <c r="B4" s="4" t="s">
        <v>77</v>
      </c>
      <c r="C4" s="25" t="s">
        <v>78</v>
      </c>
      <c r="D4" s="26" t="n">
        <f aca="false">Hypothèses!$C$5</f>
        <v>2900</v>
      </c>
      <c r="E4" s="26" t="n">
        <f aca="false">D4*(1+Hypothèses!$C$6+Hypothèses!$C$8*(1-Hypothèses!$C$8)/10)</f>
        <v>2939.179</v>
      </c>
      <c r="F4" s="26" t="n">
        <f aca="false">E4*(1+Hypothèses!$C$6+Hypothèses!$C$8*(1-Hypothèses!$C$8)/10)</f>
        <v>2978.88730829</v>
      </c>
      <c r="G4" s="26" t="n">
        <f aca="false">F4*(1+Hypothèses!$C$6+Hypothèses!$C$8*(1-Hypothèses!$C$8)/10)</f>
        <v>3019.132075825</v>
      </c>
      <c r="H4" s="26" t="n">
        <f aca="false">G4*(1+Hypothèses!$C$6+Hypothèses!$C$8*(1-Hypothèses!$C$8)/10)</f>
        <v>3059.92055016939</v>
      </c>
      <c r="I4" s="26" t="n">
        <f aca="false">H4*(1+Hypothèses!$C$6+Hypothèses!$C$8*(1-Hypothèses!$C$8)/10)</f>
        <v>3101.26007680218</v>
      </c>
      <c r="J4" s="26" t="n">
        <f aca="false">I4*(1+Hypothèses!$C$6+Hypothèses!$C$8*(1-Hypothèses!$C$8)/10)</f>
        <v>3143.15810043978</v>
      </c>
      <c r="K4" s="26" t="n">
        <f aca="false">J4*(1+Hypothèses!$C$6+Hypothèses!$C$8*(1-Hypothèses!$C$8)/10)</f>
        <v>3185.62216637672</v>
      </c>
      <c r="L4" s="26" t="n">
        <f aca="false">K4*(1+Hypothèses!$C$6+Hypothèses!$C$8*(1-Hypothèses!$C$8)/10)</f>
        <v>3228.65992184447</v>
      </c>
      <c r="M4" s="26" t="n">
        <f aca="false">L4*(1+Hypothèses!$C$6+Hypothèses!$C$8*(1-Hypothèses!$C$8)/10)</f>
        <v>3272.27911738859</v>
      </c>
      <c r="N4" s="26" t="n">
        <f aca="false">M4*(1+Hypothèses!$C$6+Hypothèses!$C$8*(1-Hypothèses!$C$8)/10)</f>
        <v>3316.48760826451</v>
      </c>
      <c r="O4" s="26" t="n">
        <f aca="false">N4*(1+Hypothèses!$C$6+Hypothèses!$C$8*(1-Hypothèses!$C$8)/10)</f>
        <v>3361.29335585216</v>
      </c>
      <c r="P4" s="26" t="n">
        <f aca="false">O4*(1+Hypothèses!$C$6+Hypothèses!$C$8*(1-Hypothèses!$C$8)/10)</f>
        <v>3406.70442908972</v>
      </c>
      <c r="Q4" s="26" t="n">
        <f aca="false">P4*(1+Hypothèses!$C$6+Hypothèses!$C$8*(1-Hypothèses!$C$8)/10)</f>
        <v>3452.72900592672</v>
      </c>
      <c r="R4" s="26" t="n">
        <f aca="false">Q4*(1+Hypothèses!$C$6+Hypothèses!$C$8*(1-Hypothèses!$C$8)/10)</f>
        <v>3499.37537479679</v>
      </c>
      <c r="S4" s="26" t="n">
        <f aca="false">R4*(1+Hypothèses!$C$6+Hypothèses!$C$8*(1-Hypothèses!$C$8)/10)</f>
        <v>3546.6519361103</v>
      </c>
      <c r="T4" s="26" t="n">
        <f aca="false">S4*(1+Hypothèses!$C$6+Hypothèses!$C$8*(1-Hypothèses!$C$8)/10)</f>
        <v>3594.56720376715</v>
      </c>
      <c r="U4" s="26" t="n">
        <f aca="false">T4*(1+Hypothèses!$C$6+Hypothèses!$C$8*(1-Hypothèses!$C$8)/10)</f>
        <v>3643.12980669004</v>
      </c>
      <c r="V4" s="26" t="n">
        <f aca="false">U4*(1+Hypothèses!$C$6+Hypothèses!$C$8*(1-Hypothèses!$C$8)/10)</f>
        <v>3692.34849037842</v>
      </c>
      <c r="W4" s="26" t="n">
        <f aca="false">V4*(1+Hypothèses!$C$6+Hypothèses!$C$8*(1-Hypothèses!$C$8)/10)</f>
        <v>3742.23211848344</v>
      </c>
      <c r="X4" s="26" t="n">
        <f aca="false">W4*(1+Hypothèses!$C$6+Hypothèses!$C$8*(1-Hypothèses!$C$8)/10)</f>
        <v>3792.78967440415</v>
      </c>
      <c r="Y4" s="26" t="n">
        <f aca="false">X4*(1+Hypothèses!$C$6+Hypothèses!$C$8*(1-Hypothèses!$C$8)/10)</f>
        <v>3844.03026290535</v>
      </c>
      <c r="Z4" s="26" t="n">
        <f aca="false">Y4*(1+Hypothèses!$C$6+Hypothèses!$C$8*(1-Hypothèses!$C$8)/10)</f>
        <v>3895.9631117572</v>
      </c>
      <c r="AA4" s="26" t="n">
        <f aca="false">Z4*(1+Hypothèses!$C$6+Hypothèses!$C$8*(1-Hypothèses!$C$8)/10)</f>
        <v>3948.59757339704</v>
      </c>
      <c r="AB4" s="26" t="n">
        <f aca="false">AA4*(1+Hypothèses!$C$6+Hypothèses!$C$8*(1-Hypothèses!$C$8)/10)</f>
        <v>4001.94312661363</v>
      </c>
      <c r="AC4" s="26" t="n">
        <f aca="false">AB4*(1+Hypothèses!$C$6+Hypothèses!$C$8*(1-Hypothèses!$C$8)/10)</f>
        <v>4056.00937825418</v>
      </c>
      <c r="AD4" s="26" t="n">
        <f aca="false">AC4*(1+Hypothèses!$C$6+Hypothèses!$C$8*(1-Hypothèses!$C$8)/10)</f>
        <v>4110.80606495439</v>
      </c>
      <c r="AE4" s="26" t="n">
        <f aca="false">AD4*(1+Hypothèses!$C$6+Hypothèses!$C$8*(1-Hypothèses!$C$8)/10)</f>
        <v>4166.34305489193</v>
      </c>
      <c r="AF4" s="26" t="n">
        <f aca="false">AE4*(1+Hypothèses!$C$6+Hypothèses!$C$8*(1-Hypothèses!$C$8)/10)</f>
        <v>4222.63034956352</v>
      </c>
      <c r="AG4" s="26" t="n">
        <f aca="false">AF4*(1+Hypothèses!$C$6+Hypothèses!$C$8*(1-Hypothèses!$C$8)/10)</f>
        <v>4279.67808558612</v>
      </c>
      <c r="AH4" s="26" t="n">
        <f aca="false">AG4*(1+Hypothèses!$C$6+Hypothèses!$C$8*(1-Hypothèses!$C$8)/10)</f>
        <v>4337.49653652239</v>
      </c>
    </row>
    <row r="5" customFormat="false" ht="13.5" hidden="false" customHeight="true" outlineLevel="0" collapsed="false">
      <c r="B5" s="4" t="s">
        <v>79</v>
      </c>
      <c r="C5" s="25" t="s">
        <v>78</v>
      </c>
      <c r="D5" s="26" t="n">
        <f aca="false">D4*Hypothèses!$C$9</f>
        <v>1571.8</v>
      </c>
      <c r="E5" s="26" t="n">
        <f aca="false">E4*Hypothèses!$C$9</f>
        <v>1593.035018</v>
      </c>
      <c r="F5" s="26" t="n">
        <f aca="false">F4*Hypothèses!$C$9</f>
        <v>1614.55692109318</v>
      </c>
      <c r="G5" s="26" t="n">
        <f aca="false">G4*Hypothèses!$C$9</f>
        <v>1636.36958509715</v>
      </c>
      <c r="H5" s="26" t="n">
        <f aca="false">H4*Hypothèses!$C$9</f>
        <v>1658.47693819181</v>
      </c>
      <c r="I5" s="26" t="n">
        <f aca="false">I4*Hypothèses!$C$9</f>
        <v>1680.88296162678</v>
      </c>
      <c r="J5" s="26" t="n">
        <f aca="false">J4*Hypothèses!$C$9</f>
        <v>1703.59169043836</v>
      </c>
      <c r="K5" s="26" t="n">
        <f aca="false">K4*Hypothèses!$C$9</f>
        <v>1726.60721417618</v>
      </c>
      <c r="L5" s="26" t="n">
        <f aca="false">L4*Hypothèses!$C$9</f>
        <v>1749.9336776397</v>
      </c>
      <c r="M5" s="26" t="n">
        <f aca="false">M4*Hypothèses!$C$9</f>
        <v>1773.57528162461</v>
      </c>
      <c r="N5" s="26" t="n">
        <f aca="false">N4*Hypothèses!$C$9</f>
        <v>1797.53628367936</v>
      </c>
      <c r="O5" s="26" t="n">
        <f aca="false">O4*Hypothèses!$C$9</f>
        <v>1821.82099887187</v>
      </c>
      <c r="P5" s="26" t="n">
        <f aca="false">P4*Hypothèses!$C$9</f>
        <v>1846.43380056663</v>
      </c>
      <c r="Q5" s="26" t="n">
        <f aca="false">Q4*Hypothèses!$C$9</f>
        <v>1871.37912121228</v>
      </c>
      <c r="R5" s="26" t="n">
        <f aca="false">R4*Hypothèses!$C$9</f>
        <v>1896.66145313986</v>
      </c>
      <c r="S5" s="26" t="n">
        <f aca="false">S4*Hypothèses!$C$9</f>
        <v>1922.28534937178</v>
      </c>
      <c r="T5" s="26" t="n">
        <f aca="false">T4*Hypothèses!$C$9</f>
        <v>1948.25542444179</v>
      </c>
      <c r="U5" s="26" t="n">
        <f aca="false">U4*Hypothèses!$C$9</f>
        <v>1974.576355226</v>
      </c>
      <c r="V5" s="26" t="n">
        <f aca="false">V4*Hypothèses!$C$9</f>
        <v>2001.25288178511</v>
      </c>
      <c r="W5" s="26" t="n">
        <f aca="false">W4*Hypothèses!$C$9</f>
        <v>2028.28980821802</v>
      </c>
      <c r="X5" s="26" t="n">
        <f aca="false">X4*Hypothèses!$C$9</f>
        <v>2055.69200352705</v>
      </c>
      <c r="Y5" s="26" t="n">
        <f aca="false">Y4*Hypothèses!$C$9</f>
        <v>2083.4644024947</v>
      </c>
      <c r="Z5" s="26" t="n">
        <f aca="false">Z4*Hypothèses!$C$9</f>
        <v>2111.6120065724</v>
      </c>
      <c r="AA5" s="26" t="n">
        <f aca="false">AA4*Hypothèses!$C$9</f>
        <v>2140.13988478119</v>
      </c>
      <c r="AB5" s="26" t="n">
        <f aca="false">AB4*Hypothèses!$C$9</f>
        <v>2169.05317462459</v>
      </c>
      <c r="AC5" s="26" t="n">
        <f aca="false">AC4*Hypothèses!$C$9</f>
        <v>2198.35708301377</v>
      </c>
      <c r="AD5" s="26" t="n">
        <f aca="false">AD4*Hypothèses!$C$9</f>
        <v>2228.05688720528</v>
      </c>
      <c r="AE5" s="26" t="n">
        <f aca="false">AE4*Hypothèses!$C$9</f>
        <v>2258.15793575142</v>
      </c>
      <c r="AF5" s="26" t="n">
        <f aca="false">AF4*Hypothèses!$C$9</f>
        <v>2288.66564946343</v>
      </c>
      <c r="AG5" s="26" t="n">
        <f aca="false">AG4*Hypothèses!$C$9</f>
        <v>2319.58552238768</v>
      </c>
      <c r="AH5" s="26" t="n">
        <f aca="false">AH4*Hypothèses!$C$9</f>
        <v>2350.92312279513</v>
      </c>
    </row>
    <row r="6" customFormat="false" ht="15.75" hidden="false" customHeight="true" outlineLevel="0" collapsed="false">
      <c r="B6" s="3" t="s">
        <v>80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customFormat="false" ht="13.5" hidden="false" customHeight="true" outlineLevel="0" collapsed="false">
      <c r="B7" s="4" t="s">
        <v>81</v>
      </c>
      <c r="C7" s="25" t="s">
        <v>82</v>
      </c>
      <c r="D7" s="27" t="n">
        <f aca="false">Hypothèses!$C$16</f>
        <v>1.7</v>
      </c>
      <c r="E7" s="27" t="n">
        <f aca="false">Hypothèses!$C$16+(2026-2025)/(2040-2025)*(Hypothèses!$C$17-Hypothèses!$C$16)</f>
        <v>1.68666666666667</v>
      </c>
      <c r="F7" s="27" t="n">
        <f aca="false">Hypothèses!$C$16+(2027-2025)/(2040-2025)*(Hypothèses!$C$17-Hypothèses!$C$16)</f>
        <v>1.67333333333333</v>
      </c>
      <c r="G7" s="27" t="n">
        <f aca="false">Hypothèses!$C$16+(2028-2025)/(2040-2025)*(Hypothèses!$C$17-Hypothèses!$C$16)</f>
        <v>1.66</v>
      </c>
      <c r="H7" s="27" t="n">
        <f aca="false">Hypothèses!$C$16+(2029-2025)/(2040-2025)*(Hypothèses!$C$17-Hypothèses!$C$16)</f>
        <v>1.64666666666667</v>
      </c>
      <c r="I7" s="27" t="n">
        <f aca="false">Hypothèses!$C$16+(2030-2025)/(2040-2025)*(Hypothèses!$C$17-Hypothèses!$C$16)</f>
        <v>1.63333333333333</v>
      </c>
      <c r="J7" s="27" t="n">
        <f aca="false">Hypothèses!$C$16+(2031-2025)/(2040-2025)*(Hypothèses!$C$17-Hypothèses!$C$16)</f>
        <v>1.62</v>
      </c>
      <c r="K7" s="27" t="n">
        <f aca="false">Hypothèses!$C$16+(2032-2025)/(2040-2025)*(Hypothèses!$C$17-Hypothèses!$C$16)</f>
        <v>1.60666666666667</v>
      </c>
      <c r="L7" s="27" t="n">
        <f aca="false">Hypothèses!$C$16+(2033-2025)/(2040-2025)*(Hypothèses!$C$17-Hypothèses!$C$16)</f>
        <v>1.59333333333333</v>
      </c>
      <c r="M7" s="27" t="n">
        <f aca="false">Hypothèses!$C$16+(2034-2025)/(2040-2025)*(Hypothèses!$C$17-Hypothèses!$C$16)</f>
        <v>1.58</v>
      </c>
      <c r="N7" s="27" t="n">
        <f aca="false">Hypothèses!$C$16+(2035-2025)/(2040-2025)*(Hypothèses!$C$17-Hypothèses!$C$16)</f>
        <v>1.56666666666667</v>
      </c>
      <c r="O7" s="27" t="n">
        <f aca="false">Hypothèses!$C$16+(2036-2025)/(2040-2025)*(Hypothèses!$C$17-Hypothèses!$C$16)</f>
        <v>1.55333333333333</v>
      </c>
      <c r="P7" s="27" t="n">
        <f aca="false">Hypothèses!$C$16+(2037-2025)/(2040-2025)*(Hypothèses!$C$17-Hypothèses!$C$16)</f>
        <v>1.54</v>
      </c>
      <c r="Q7" s="27" t="n">
        <f aca="false">Hypothèses!$C$16+(2038-2025)/(2040-2025)*(Hypothèses!$C$17-Hypothèses!$C$16)</f>
        <v>1.52666666666667</v>
      </c>
      <c r="R7" s="27" t="n">
        <f aca="false">Hypothèses!$C$16+(2039-2025)/(2040-2025)*(Hypothèses!$C$17-Hypothèses!$C$16)</f>
        <v>1.51333333333333</v>
      </c>
      <c r="S7" s="27" t="n">
        <f aca="false">Hypothèses!$C$16+(2040-2025)/(2040-2025)*(Hypothèses!$C$17-Hypothèses!$C$16)</f>
        <v>1.5</v>
      </c>
      <c r="T7" s="27" t="n">
        <f aca="false">Hypothèses!$C$17+(2041-2040)/(2050-2040)*(Hypothèses!$C$18-Hypothèses!$C$17)</f>
        <v>1.492</v>
      </c>
      <c r="U7" s="27" t="n">
        <f aca="false">Hypothèses!$C$17+(2042-2040)/(2050-2040)*(Hypothèses!$C$18-Hypothèses!$C$17)</f>
        <v>1.484</v>
      </c>
      <c r="V7" s="27" t="n">
        <f aca="false">Hypothèses!$C$17+(2043-2040)/(2050-2040)*(Hypothèses!$C$18-Hypothèses!$C$17)</f>
        <v>1.476</v>
      </c>
      <c r="W7" s="27" t="n">
        <f aca="false">Hypothèses!$C$17+(2044-2040)/(2050-2040)*(Hypothèses!$C$18-Hypothèses!$C$17)</f>
        <v>1.468</v>
      </c>
      <c r="X7" s="27" t="n">
        <f aca="false">Hypothèses!$C$17+(2045-2040)/(2050-2040)*(Hypothèses!$C$18-Hypothèses!$C$17)</f>
        <v>1.46</v>
      </c>
      <c r="Y7" s="27" t="n">
        <f aca="false">Hypothèses!$C$17+(2046-2040)/(2050-2040)*(Hypothèses!$C$18-Hypothèses!$C$17)</f>
        <v>1.452</v>
      </c>
      <c r="Z7" s="27" t="n">
        <f aca="false">Hypothèses!$C$17+(2047-2040)/(2050-2040)*(Hypothèses!$C$18-Hypothèses!$C$17)</f>
        <v>1.444</v>
      </c>
      <c r="AA7" s="27" t="n">
        <f aca="false">Hypothèses!$C$17+(2048-2040)/(2050-2040)*(Hypothèses!$C$18-Hypothèses!$C$17)</f>
        <v>1.436</v>
      </c>
      <c r="AB7" s="27" t="n">
        <f aca="false">Hypothèses!$C$17+(2049-2040)/(2050-2040)*(Hypothèses!$C$18-Hypothèses!$C$17)</f>
        <v>1.428</v>
      </c>
      <c r="AC7" s="27" t="n">
        <f aca="false">Hypothèses!$C$17+(2050-2040)/(2050-2040)*(Hypothèses!$C$18-Hypothèses!$C$17)</f>
        <v>1.42</v>
      </c>
      <c r="AD7" s="27" t="n">
        <f aca="false">Hypothèses!$C$18+(2051-2050)*(-0.002)</f>
        <v>1.418</v>
      </c>
      <c r="AE7" s="27" t="n">
        <f aca="false">Hypothèses!$C$18+(2052-2050)*(-0.002)</f>
        <v>1.416</v>
      </c>
      <c r="AF7" s="27" t="n">
        <f aca="false">Hypothèses!$C$18+(2053-2050)*(-0.002)</f>
        <v>1.414</v>
      </c>
      <c r="AG7" s="27" t="n">
        <f aca="false">Hypothèses!$C$18+(2054-2050)*(-0.002)</f>
        <v>1.412</v>
      </c>
      <c r="AH7" s="27" t="n">
        <f aca="false">Hypothèses!$C$18+(2055-2050)*(-0.002)</f>
        <v>1.41</v>
      </c>
    </row>
    <row r="8" customFormat="false" ht="13.5" hidden="false" customHeight="true" outlineLevel="0" collapsed="false">
      <c r="B8" s="4" t="s">
        <v>83</v>
      </c>
      <c r="C8" s="25" t="s">
        <v>82</v>
      </c>
      <c r="D8" s="28" t="n">
        <f aca="false">Hypothèses!$C$16</f>
        <v>1.7</v>
      </c>
      <c r="E8" s="28" t="n">
        <f aca="false">Hypothèses!$C$16+(2026-2025)/(2040-2025)*(Hypothèses!$C$19-Hypothèses!$C$16)</f>
        <v>1.67866666666667</v>
      </c>
      <c r="F8" s="28" t="n">
        <f aca="false">Hypothèses!$C$16+(2027-2025)/(2040-2025)*(Hypothèses!$C$19-Hypothèses!$C$16)</f>
        <v>1.65733333333333</v>
      </c>
      <c r="G8" s="28" t="n">
        <f aca="false">Hypothèses!$C$16+(2028-2025)/(2040-2025)*(Hypothèses!$C$19-Hypothèses!$C$16)</f>
        <v>1.636</v>
      </c>
      <c r="H8" s="28" t="n">
        <f aca="false">Hypothèses!$C$16+(2029-2025)/(2040-2025)*(Hypothèses!$C$19-Hypothèses!$C$16)</f>
        <v>1.61466666666667</v>
      </c>
      <c r="I8" s="28" t="n">
        <f aca="false">Hypothèses!$C$16+(2030-2025)/(2040-2025)*(Hypothèses!$C$19-Hypothèses!$C$16)</f>
        <v>1.59333333333333</v>
      </c>
      <c r="J8" s="28" t="n">
        <f aca="false">Hypothèses!$C$16+(2031-2025)/(2040-2025)*(Hypothèses!$C$19-Hypothèses!$C$16)</f>
        <v>1.572</v>
      </c>
      <c r="K8" s="28" t="n">
        <f aca="false">Hypothèses!$C$16+(2032-2025)/(2040-2025)*(Hypothèses!$C$19-Hypothèses!$C$16)</f>
        <v>1.55066666666667</v>
      </c>
      <c r="L8" s="28" t="n">
        <f aca="false">Hypothèses!$C$16+(2033-2025)/(2040-2025)*(Hypothèses!$C$19-Hypothèses!$C$16)</f>
        <v>1.52933333333333</v>
      </c>
      <c r="M8" s="28" t="n">
        <f aca="false">Hypothèses!$C$16+(2034-2025)/(2040-2025)*(Hypothèses!$C$19-Hypothèses!$C$16)</f>
        <v>1.508</v>
      </c>
      <c r="N8" s="28" t="n">
        <f aca="false">Hypothèses!$C$16+(2035-2025)/(2040-2025)*(Hypothèses!$C$19-Hypothèses!$C$16)</f>
        <v>1.48666666666667</v>
      </c>
      <c r="O8" s="28" t="n">
        <f aca="false">Hypothèses!$C$16+(2036-2025)/(2040-2025)*(Hypothèses!$C$19-Hypothèses!$C$16)</f>
        <v>1.46533333333333</v>
      </c>
      <c r="P8" s="28" t="n">
        <f aca="false">Hypothèses!$C$16+(2037-2025)/(2040-2025)*(Hypothèses!$C$19-Hypothèses!$C$16)</f>
        <v>1.444</v>
      </c>
      <c r="Q8" s="28" t="n">
        <f aca="false">Hypothèses!$C$16+(2038-2025)/(2040-2025)*(Hypothèses!$C$19-Hypothèses!$C$16)</f>
        <v>1.42266666666667</v>
      </c>
      <c r="R8" s="28" t="n">
        <f aca="false">Hypothèses!$C$16+(2039-2025)/(2040-2025)*(Hypothèses!$C$19-Hypothèses!$C$16)</f>
        <v>1.40133333333333</v>
      </c>
      <c r="S8" s="28" t="n">
        <f aca="false">Hypothèses!$C$16+(2040-2025)/(2040-2025)*(Hypothèses!$C$19-Hypothèses!$C$16)</f>
        <v>1.38</v>
      </c>
      <c r="T8" s="28" t="n">
        <f aca="false">Hypothèses!$C$19+(2041-2040)/(2050-2040)*(Hypothèses!$C$20-Hypothèses!$C$19)</f>
        <v>1.367</v>
      </c>
      <c r="U8" s="28" t="n">
        <f aca="false">Hypothèses!$C$19+(2042-2040)/(2050-2040)*(Hypothèses!$C$20-Hypothèses!$C$19)</f>
        <v>1.354</v>
      </c>
      <c r="V8" s="28" t="n">
        <f aca="false">Hypothèses!$C$19+(2043-2040)/(2050-2040)*(Hypothèses!$C$20-Hypothèses!$C$19)</f>
        <v>1.341</v>
      </c>
      <c r="W8" s="28" t="n">
        <f aca="false">Hypothèses!$C$19+(2044-2040)/(2050-2040)*(Hypothèses!$C$20-Hypothèses!$C$19)</f>
        <v>1.328</v>
      </c>
      <c r="X8" s="28" t="n">
        <f aca="false">Hypothèses!$C$19+(2045-2040)/(2050-2040)*(Hypothèses!$C$20-Hypothèses!$C$19)</f>
        <v>1.315</v>
      </c>
      <c r="Y8" s="28" t="n">
        <f aca="false">Hypothèses!$C$19+(2046-2040)/(2050-2040)*(Hypothèses!$C$20-Hypothèses!$C$19)</f>
        <v>1.302</v>
      </c>
      <c r="Z8" s="28" t="n">
        <f aca="false">Hypothèses!$C$19+(2047-2040)/(2050-2040)*(Hypothèses!$C$20-Hypothèses!$C$19)</f>
        <v>1.289</v>
      </c>
      <c r="AA8" s="28" t="n">
        <f aca="false">Hypothèses!$C$19+(2048-2040)/(2050-2040)*(Hypothèses!$C$20-Hypothèses!$C$19)</f>
        <v>1.276</v>
      </c>
      <c r="AB8" s="28" t="n">
        <f aca="false">Hypothèses!$C$19+(2049-2040)/(2050-2040)*(Hypothèses!$C$20-Hypothèses!$C$19)</f>
        <v>1.263</v>
      </c>
      <c r="AC8" s="28" t="n">
        <f aca="false">Hypothèses!$C$19+(2050-2040)/(2050-2040)*(Hypothèses!$C$20-Hypothèses!$C$19)</f>
        <v>1.25</v>
      </c>
      <c r="AD8" s="28" t="n">
        <f aca="false">Hypothèses!$C$20+(2051-2050)*(-0.003)</f>
        <v>1.247</v>
      </c>
      <c r="AE8" s="28" t="n">
        <f aca="false">Hypothèses!$C$20+(2052-2050)*(-0.003)</f>
        <v>1.244</v>
      </c>
      <c r="AF8" s="28" t="n">
        <f aca="false">Hypothèses!$C$20+(2053-2050)*(-0.003)</f>
        <v>1.241</v>
      </c>
      <c r="AG8" s="28" t="n">
        <f aca="false">Hypothèses!$C$20+(2054-2050)*(-0.003)</f>
        <v>1.238</v>
      </c>
      <c r="AH8" s="28" t="n">
        <f aca="false">Hypothèses!$C$20+(2055-2050)*(-0.003)</f>
        <v>1.235</v>
      </c>
    </row>
    <row r="9" customFormat="false" ht="15.75" hidden="false" customHeight="true" outlineLevel="0" collapsed="false">
      <c r="B9" s="3" t="s">
        <v>84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customFormat="false" ht="13.5" hidden="false" customHeight="true" outlineLevel="0" collapsed="false">
      <c r="B10" s="4" t="s">
        <v>85</v>
      </c>
      <c r="C10" s="25" t="s">
        <v>78</v>
      </c>
      <c r="D10" s="26" t="n">
        <f aca="false">Hypothèses!$C$11</f>
        <v>345</v>
      </c>
      <c r="E10" s="26" t="n">
        <f aca="false">D10*(1+Hypothèses!$C$7*0.95)*IF(AND(D7&gt;0,E7&gt;0),(E7/D7+1)/2,1)</f>
        <v>350.176352941176</v>
      </c>
      <c r="F10" s="26" t="n">
        <f aca="false">E10*(1+Hypothèses!$C$7*0.95)*IF(AND(E7&gt;0,F7&gt;0),(F7/E7+1)/2,1)</f>
        <v>355.419309561497</v>
      </c>
      <c r="G10" s="26" t="n">
        <f aca="false">F10*(1+Hypothèses!$C$7*0.95)*IF(AND(F7&gt;0,G7&gt;0),(G7/F7+1)/2,1)</f>
        <v>360.729359007137</v>
      </c>
      <c r="H10" s="26" t="n">
        <f aca="false">G10*(1+Hypothèses!$C$7*0.95)*IF(AND(G7&gt;0,H7&gt;0),(H7/G7+1)/2,1)</f>
        <v>366.106979009685</v>
      </c>
      <c r="I10" s="26" t="n">
        <f aca="false">H10*(1+Hypothèses!$C$7*0.95)*IF(AND(H7&gt;0,I7&gt;0),(I7/H7+1)/2,1)</f>
        <v>371.552635045643</v>
      </c>
      <c r="J10" s="26" t="n">
        <f aca="false">I10*(1+Hypothèses!$C$7*0.95)*IF(AND(I7&gt;0,J7&gt;0),(J7/I7+1)/2,1)</f>
        <v>377.066779457994</v>
      </c>
      <c r="K10" s="26" t="n">
        <f aca="false">J10*(1+Hypothèses!$C$7*0.95)*IF(AND(J7&gt;0,K7&gt;0),(K7/J7+1)/2,1)</f>
        <v>382.649850538199</v>
      </c>
      <c r="L10" s="26" t="n">
        <f aca="false">K10*(1+Hypothèses!$C$7*0.95)*IF(AND(K7&gt;0,L7&gt;0),(L7/K7+1)/2,1)</f>
        <v>388.302271566896</v>
      </c>
      <c r="M10" s="26" t="n">
        <f aca="false">L10*(1+Hypothèses!$C$7*0.95)*IF(AND(L7&gt;0,M7&gt;0),(M7/L7+1)/2,1)</f>
        <v>394.024449811493</v>
      </c>
      <c r="N10" s="26" t="n">
        <f aca="false">M10*(1+Hypothèses!$C$7*0.95)*IF(AND(M7&gt;0,N7&gt;0),(N7/M7+1)/2,1)</f>
        <v>399.816775478764</v>
      </c>
      <c r="O10" s="26" t="n">
        <f aca="false">N10*(1+Hypothèses!$C$7*0.95)*IF(AND(N7&gt;0,O7&gt;0),(O7/N7+1)/2,1)</f>
        <v>405.679620620465</v>
      </c>
      <c r="P10" s="26" t="n">
        <f aca="false">O10*(1+Hypothèses!$C$7*0.95)*IF(AND(O7&gt;0,P7&gt;0),(P7/O7+1)/2,1)</f>
        <v>411.613337989884</v>
      </c>
      <c r="Q10" s="26" t="n">
        <f aca="false">P10*(1+Hypothèses!$C$7*0.95)*IF(AND(P7&gt;0,Q7&gt;0),(Q7/P7+1)/2,1)</f>
        <v>417.618259847139</v>
      </c>
      <c r="R10" s="26" t="n">
        <f aca="false">Q10*(1+Hypothèses!$C$7*0.95)*IF(AND(Q7&gt;0,R7&gt;0),(R7/Q7+1)/2,1)</f>
        <v>423.694696710941</v>
      </c>
      <c r="S10" s="26" t="n">
        <f aca="false">R10*(1+Hypothèses!$C$7*0.95)*IF(AND(R7&gt;0,S7&gt;0),(S7/R7+1)/2,1)</f>
        <v>429.842936054403</v>
      </c>
      <c r="T10" s="26" t="n">
        <f aca="false">S10*(1+Hypothèses!$C$7*0.95)*IF(AND(S7&gt;0,T7&gt;0),(T7/S7+1)/2,1)</f>
        <v>436.841925301198</v>
      </c>
      <c r="U10" s="26" t="n">
        <f aca="false">T10*(1+Hypothèses!$C$7*0.95)*IF(AND(T7&gt;0,U7&gt;0),(U7/T7+1)/2,1)</f>
        <v>443.948511903685</v>
      </c>
      <c r="V10" s="26" t="n">
        <f aca="false">U10*(1+Hypothèses!$C$7*0.95)*IF(AND(U7&gt;0,V7&gt;0),(V7/U7+1)/2,1)</f>
        <v>451.164171005516</v>
      </c>
      <c r="W10" s="26" t="n">
        <f aca="false">V10*(1+Hypothèses!$C$7*0.95)*IF(AND(V7&gt;0,W7&gt;0),(W7/V7+1)/2,1)</f>
        <v>458.490392449052</v>
      </c>
      <c r="X10" s="26" t="n">
        <f aca="false">W10*(1+Hypothèses!$C$7*0.95)*IF(AND(W7&gt;0,X7&gt;0),(X7/W7+1)/2,1)</f>
        <v>465.92868072328</v>
      </c>
      <c r="Y10" s="26" t="n">
        <f aca="false">X10*(1+Hypothèses!$C$7*0.95)*IF(AND(X7&gt;0,Y7&gt;0),(Y7/X7+1)/2,1)</f>
        <v>473.480554901798</v>
      </c>
      <c r="Z10" s="26" t="n">
        <f aca="false">Y10*(1+Hypothèses!$C$7*0.95)*IF(AND(Y7&gt;0,Z7&gt;0),(Z7/Y7+1)/2,1)</f>
        <v>481.147548570428</v>
      </c>
      <c r="AA10" s="26" t="n">
        <f aca="false">Z10*(1+Hypothèses!$C$7*0.95)*IF(AND(Z7&gt;0,AA7&gt;0),(AA7/Z7+1)/2,1)</f>
        <v>488.931209743977</v>
      </c>
      <c r="AB10" s="26" t="n">
        <f aca="false">AA10*(1+Hypothèses!$C$7*0.95)*IF(AND(AA7&gt;0,AB7&gt;0),(AB7/AA7+1)/2,1)</f>
        <v>496.83310077165</v>
      </c>
      <c r="AC10" s="26" t="n">
        <f aca="false">AB10*(1+Hypothèses!$C$7*0.95)*IF(AND(AB7&gt;0,AC7&gt;0),(AC7/AB7+1)/2,1)</f>
        <v>504.854798230607</v>
      </c>
      <c r="AD10" s="26" t="n">
        <f aca="false">AC10*(1+Hypothèses!$C$7*0.95)*IF(AND(AC7&gt;0,AD7&gt;0),(AD7/AC7+1)/2,1)</f>
        <v>514.084752749526</v>
      </c>
      <c r="AE10" s="26" t="n">
        <f aca="false">AD10*(1+Hypothèses!$C$7*0.95)*IF(AND(AD7&gt;0,AE7&gt;0),(AE7/AD7+1)/2,1)</f>
        <v>523.48293261238</v>
      </c>
      <c r="AF10" s="26" t="n">
        <f aca="false">AE10*(1+Hypothèses!$C$7*0.95)*IF(AND(AE7&gt;0,AF7&gt;0),(AF7/AE7+1)/2,1)</f>
        <v>533.052392860029</v>
      </c>
      <c r="AG10" s="26" t="n">
        <f aca="false">AF10*(1+Hypothèses!$C$7*0.95)*IF(AND(AF7&gt;0,AG7&gt;0),(AG7/AF7+1)/2,1)</f>
        <v>542.796243778171</v>
      </c>
      <c r="AH10" s="26" t="n">
        <f aca="false">AG10*(1+Hypothèses!$C$7*0.95)*IF(AND(AG7&gt;0,AH7&gt;0),(AH7/AG7+1)/2,1)</f>
        <v>552.717651891252</v>
      </c>
    </row>
    <row r="11" customFormat="false" ht="13.5" hidden="false" customHeight="true" outlineLevel="0" collapsed="false">
      <c r="B11" s="4" t="s">
        <v>86</v>
      </c>
      <c r="C11" s="25" t="s">
        <v>78</v>
      </c>
      <c r="D11" s="26" t="n">
        <f aca="false">Hypothèses!$C$12</f>
        <v>330.5</v>
      </c>
      <c r="E11" s="26" t="n">
        <f aca="false">E5*Hypothèses!$C$13*(1-Hypothèses!$C$14)</f>
        <v>417.0565677124</v>
      </c>
      <c r="F11" s="26" t="n">
        <f aca="false">F5*Hypothèses!$C$13*(1-Hypothèses!$C$14)</f>
        <v>422.691001942195</v>
      </c>
      <c r="G11" s="26" t="n">
        <f aca="false">G5*Hypothèses!$C$13*(1-Hypothèses!$C$14)</f>
        <v>428.401557378434</v>
      </c>
      <c r="H11" s="26" t="n">
        <f aca="false">H5*Hypothèses!$C$13*(1-Hypothèses!$C$14)</f>
        <v>434.189262418616</v>
      </c>
      <c r="I11" s="26" t="n">
        <f aca="false">I5*Hypothèses!$C$13*(1-Hypothèses!$C$14)</f>
        <v>440.055159353892</v>
      </c>
      <c r="J11" s="26" t="n">
        <f aca="false">J5*Hypothèses!$C$13*(1-Hypothèses!$C$14)</f>
        <v>446.000304556763</v>
      </c>
      <c r="K11" s="26" t="n">
        <f aca="false">K5*Hypothèses!$C$13*(1-Hypothèses!$C$14)</f>
        <v>452.025768671325</v>
      </c>
      <c r="L11" s="26" t="n">
        <f aca="false">L5*Hypothèses!$C$13*(1-Hypothèses!$C$14)</f>
        <v>458.132636806074</v>
      </c>
      <c r="M11" s="26" t="n">
        <f aca="false">M5*Hypothèses!$C$13*(1-Hypothèses!$C$14)</f>
        <v>464.322008729324</v>
      </c>
      <c r="N11" s="26" t="n">
        <f aca="false">N5*Hypothèses!$C$13*(1-Hypothèses!$C$14)</f>
        <v>470.594999067257</v>
      </c>
      <c r="O11" s="26" t="n">
        <f aca="false">O5*Hypothèses!$C$13*(1-Hypothèses!$C$14)</f>
        <v>476.952737504656</v>
      </c>
      <c r="P11" s="26" t="n">
        <f aca="false">P5*Hypothèses!$C$13*(1-Hypothèses!$C$14)</f>
        <v>483.396368988344</v>
      </c>
      <c r="Q11" s="26" t="n">
        <f aca="false">Q5*Hypothèses!$C$13*(1-Hypothèses!$C$14)</f>
        <v>489.927053933376</v>
      </c>
      <c r="R11" s="26" t="n">
        <f aca="false">R5*Hypothèses!$C$13*(1-Hypothèses!$C$14)</f>
        <v>496.545968432016</v>
      </c>
      <c r="S11" s="26" t="n">
        <f aca="false">S5*Hypothèses!$C$13*(1-Hypothèses!$C$14)</f>
        <v>503.254304465533</v>
      </c>
      <c r="T11" s="26" t="n">
        <f aca="false">T5*Hypothèses!$C$13*(1-Hypothèses!$C$14)</f>
        <v>510.053270118862</v>
      </c>
      <c r="U11" s="26" t="n">
        <f aca="false">U5*Hypothèses!$C$13*(1-Hypothèses!$C$14)</f>
        <v>516.944089798168</v>
      </c>
      <c r="V11" s="26" t="n">
        <f aca="false">V5*Hypothèses!$C$13*(1-Hypothèses!$C$14)</f>
        <v>523.928004451341</v>
      </c>
      <c r="W11" s="26" t="n">
        <f aca="false">W5*Hypothèses!$C$13*(1-Hypothèses!$C$14)</f>
        <v>531.006271791478</v>
      </c>
      <c r="X11" s="26" t="n">
        <f aca="false">X5*Hypothèses!$C$13*(1-Hypothèses!$C$14)</f>
        <v>538.180166523381</v>
      </c>
      <c r="Y11" s="26" t="n">
        <f aca="false">Y5*Hypothèses!$C$13*(1-Hypothèses!$C$14)</f>
        <v>545.450980573112</v>
      </c>
      <c r="Z11" s="26" t="n">
        <f aca="false">Z5*Hypothèses!$C$13*(1-Hypothèses!$C$14)</f>
        <v>552.820023320655</v>
      </c>
      <c r="AA11" s="26" t="n">
        <f aca="false">AA5*Hypothèses!$C$13*(1-Hypothèses!$C$14)</f>
        <v>560.288621835717</v>
      </c>
      <c r="AB11" s="26" t="n">
        <f aca="false">AB5*Hypothèses!$C$13*(1-Hypothèses!$C$14)</f>
        <v>567.858121116717</v>
      </c>
      <c r="AC11" s="26" t="n">
        <f aca="false">AC5*Hypothèses!$C$13*(1-Hypothèses!$C$14)</f>
        <v>575.529884333004</v>
      </c>
      <c r="AD11" s="26" t="n">
        <f aca="false">AD5*Hypothèses!$C$13*(1-Hypothèses!$C$14)</f>
        <v>583.305293070343</v>
      </c>
      <c r="AE11" s="26" t="n">
        <f aca="false">AE5*Hypothèses!$C$13*(1-Hypothèses!$C$14)</f>
        <v>591.185747579723</v>
      </c>
      <c r="AF11" s="26" t="n">
        <f aca="false">AF5*Hypothèses!$C$13*(1-Hypothèses!$C$14)</f>
        <v>599.172667029525</v>
      </c>
      <c r="AG11" s="26" t="n">
        <f aca="false">AG5*Hypothèses!$C$13*(1-Hypothèses!$C$14)</f>
        <v>607.267489761094</v>
      </c>
      <c r="AH11" s="26" t="n">
        <f aca="false">AH5*Hypothèses!$C$13*(1-Hypothèses!$C$14)</f>
        <v>615.471673547766</v>
      </c>
    </row>
    <row r="12" customFormat="false" ht="13.5" hidden="false" customHeight="true" outlineLevel="0" collapsed="false">
      <c r="B12" s="4" t="s">
        <v>87</v>
      </c>
      <c r="C12" s="25" t="s">
        <v>78</v>
      </c>
      <c r="D12" s="29" t="n">
        <f aca="false">D11-D10</f>
        <v>-14.5</v>
      </c>
      <c r="E12" s="29" t="n">
        <f aca="false">E11-E10</f>
        <v>66.8802147712236</v>
      </c>
      <c r="F12" s="29" t="n">
        <f aca="false">F11-F10</f>
        <v>67.2716923806974</v>
      </c>
      <c r="G12" s="29" t="n">
        <f aca="false">G11-G10</f>
        <v>67.6721983712964</v>
      </c>
      <c r="H12" s="29" t="n">
        <f aca="false">H11-H10</f>
        <v>68.0822834089309</v>
      </c>
      <c r="I12" s="29" t="n">
        <f aca="false">I11-I10</f>
        <v>68.5025243082486</v>
      </c>
      <c r="J12" s="29" t="n">
        <f aca="false">J11-J10</f>
        <v>68.9335250987688</v>
      </c>
      <c r="K12" s="29" t="n">
        <f aca="false">K11-K10</f>
        <v>69.3759181331254</v>
      </c>
      <c r="L12" s="29" t="n">
        <f aca="false">L11-L10</f>
        <v>69.830365239178</v>
      </c>
      <c r="M12" s="29" t="n">
        <f aca="false">M11-M10</f>
        <v>70.2975589178313</v>
      </c>
      <c r="N12" s="29" t="n">
        <f aca="false">N11-N10</f>
        <v>70.7782235884934</v>
      </c>
      <c r="O12" s="29" t="n">
        <f aca="false">O11-O10</f>
        <v>71.2731168841906</v>
      </c>
      <c r="P12" s="29" t="n">
        <f aca="false">P11-P10</f>
        <v>71.7830309984598</v>
      </c>
      <c r="Q12" s="29" t="n">
        <f aca="false">Q11-Q10</f>
        <v>72.3087940862373</v>
      </c>
      <c r="R12" s="29" t="n">
        <f aca="false">R11-R10</f>
        <v>72.8512717210751</v>
      </c>
      <c r="S12" s="29" t="n">
        <f aca="false">S11-S10</f>
        <v>73.4113684111298</v>
      </c>
      <c r="T12" s="29" t="n">
        <f aca="false">T11-T10</f>
        <v>73.2113448176639</v>
      </c>
      <c r="U12" s="29" t="n">
        <f aca="false">U11-U10</f>
        <v>72.9955778944827</v>
      </c>
      <c r="V12" s="29" t="n">
        <f aca="false">V11-V10</f>
        <v>72.7638334458251</v>
      </c>
      <c r="W12" s="29" t="n">
        <f aca="false">W11-W10</f>
        <v>72.515879342426</v>
      </c>
      <c r="X12" s="29" t="n">
        <f aca="false">X11-X10</f>
        <v>72.251485800101</v>
      </c>
      <c r="Y12" s="29" t="n">
        <f aca="false">Y11-Y10</f>
        <v>71.9704256713142</v>
      </c>
      <c r="Z12" s="29" t="n">
        <f aca="false">Z11-Z10</f>
        <v>71.6724747502267</v>
      </c>
      <c r="AA12" s="29" t="n">
        <f aca="false">AA11-AA10</f>
        <v>71.3574120917395</v>
      </c>
      <c r="AB12" s="29" t="n">
        <f aca="false">AB11-AB10</f>
        <v>71.0250203450671</v>
      </c>
      <c r="AC12" s="29" t="n">
        <f aca="false">AC11-AC10</f>
        <v>70.6750861023965</v>
      </c>
      <c r="AD12" s="29" t="n">
        <f aca="false">AD11-AD10</f>
        <v>69.2205403208164</v>
      </c>
      <c r="AE12" s="29" t="n">
        <f aca="false">AE11-AE10</f>
        <v>67.7028149673434</v>
      </c>
      <c r="AF12" s="29" t="n">
        <f aca="false">AF11-AF10</f>
        <v>66.1202741694963</v>
      </c>
      <c r="AG12" s="29" t="n">
        <f aca="false">AG11-AG10</f>
        <v>64.4712459829228</v>
      </c>
      <c r="AH12" s="29" t="n">
        <f aca="false">AH11-AH10</f>
        <v>62.7540216565139</v>
      </c>
    </row>
    <row r="13" customFormat="false" ht="13.5" hidden="false" customHeight="true" outlineLevel="0" collapsed="false">
      <c r="B13" s="4" t="s">
        <v>88</v>
      </c>
      <c r="C13" s="25" t="s">
        <v>89</v>
      </c>
      <c r="D13" s="30" t="n">
        <f aca="false">IFERROR(D12/D4,0)</f>
        <v>-0.005</v>
      </c>
      <c r="E13" s="30" t="n">
        <f aca="false">IFERROR(E12/E4,0)</f>
        <v>0.0227547266672848</v>
      </c>
      <c r="F13" s="30" t="n">
        <f aca="false">IFERROR(F12/F4,0)</f>
        <v>0.0225828255380745</v>
      </c>
      <c r="G13" s="30" t="n">
        <f aca="false">IFERROR(G12/G4,0)</f>
        <v>0.022414454443105</v>
      </c>
      <c r="H13" s="30" t="n">
        <f aca="false">IFERROR(H12/H4,0)</f>
        <v>0.0222496899160215</v>
      </c>
      <c r="I13" s="30" t="n">
        <f aca="false">IFERROR(I12/I4,0)</f>
        <v>0.0220886099881323</v>
      </c>
      <c r="J13" s="30" t="n">
        <f aca="false">IFERROR(J12/J4,0)</f>
        <v>0.0219312942257419</v>
      </c>
      <c r="K13" s="30" t="n">
        <f aca="false">IFERROR(K12/K4,0)</f>
        <v>0.0217778237687342</v>
      </c>
      <c r="L13" s="30" t="n">
        <f aca="false">IFERROR(L12/L4,0)</f>
        <v>0.0216282813704595</v>
      </c>
      <c r="M13" s="30" t="n">
        <f aca="false">IFERROR(M12/M4,0)</f>
        <v>0.0214827514389823</v>
      </c>
      <c r="N13" s="30" t="n">
        <f aca="false">IFERROR(N12/N4,0)</f>
        <v>0.0213413200797488</v>
      </c>
      <c r="O13" s="30" t="n">
        <f aca="false">IFERROR(O12/O4,0)</f>
        <v>0.0212040751397378</v>
      </c>
      <c r="P13" s="30" t="n">
        <f aca="false">IFERROR(P12/P4,0)</f>
        <v>0.0210711062531599</v>
      </c>
      <c r="Q13" s="30" t="n">
        <f aca="false">IFERROR(Q12/Q4,0)</f>
        <v>0.0209425048887755</v>
      </c>
      <c r="R13" s="30" t="n">
        <f aca="false">IFERROR(R12/R4,0)</f>
        <v>0.0208183643989052</v>
      </c>
      <c r="S13" s="30" t="n">
        <f aca="false">IFERROR(S12/S4,0)</f>
        <v>0.0206987800702095</v>
      </c>
      <c r="T13" s="30" t="n">
        <f aca="false">IFERROR(T12/T4,0)</f>
        <v>0.0203672210498492</v>
      </c>
      <c r="U13" s="30" t="n">
        <f aca="false">IFERROR(U12/U4,0)</f>
        <v>0.0200365020649107</v>
      </c>
      <c r="V13" s="30" t="n">
        <f aca="false">IFERROR(V12/V4,0)</f>
        <v>0.0197066538100166</v>
      </c>
      <c r="W13" s="30" t="n">
        <f aca="false">IFERROR(W12/W4,0)</f>
        <v>0.0193777074875338</v>
      </c>
      <c r="X13" s="30" t="n">
        <f aca="false">IFERROR(X12/X4,0)</f>
        <v>0.019049694816376</v>
      </c>
      <c r="Y13" s="30" t="n">
        <f aca="false">IFERROR(Y12/Y4,0)</f>
        <v>0.018722648040996</v>
      </c>
      <c r="Z13" s="30" t="n">
        <f aca="false">IFERROR(Z12/Z4,0)</f>
        <v>0.0183965999405729</v>
      </c>
      <c r="AA13" s="30" t="n">
        <f aca="false">IFERROR(AA12/AA4,0)</f>
        <v>0.018071583838398</v>
      </c>
      <c r="AB13" s="30" t="n">
        <f aca="false">IFERROR(AB12/AB4,0)</f>
        <v>0.0177476336114669</v>
      </c>
      <c r="AC13" s="30" t="n">
        <f aca="false">IFERROR(AC12/AC4,0)</f>
        <v>0.0174247837002825</v>
      </c>
      <c r="AD13" s="30" t="n">
        <f aca="false">IFERROR(AD12/AD4,0)</f>
        <v>0.0168386781636181</v>
      </c>
      <c r="AE13" s="30" t="n">
        <f aca="false">IFERROR(AE12/AE4,0)</f>
        <v>0.0162499376732432</v>
      </c>
      <c r="AF13" s="30" t="n">
        <f aca="false">IFERROR(AF12/AF4,0)</f>
        <v>0.015658551352081</v>
      </c>
      <c r="AG13" s="30" t="n">
        <f aca="false">IFERROR(AG12/AG4,0)</f>
        <v>0.01506450828628</v>
      </c>
      <c r="AH13" s="30" t="n">
        <f aca="false">IFERROR(AH12/AH4,0)</f>
        <v>0.0144677975251658</v>
      </c>
    </row>
    <row r="14" customFormat="false" ht="13.5" hidden="false" customHeight="true" outlineLevel="0" collapsed="false">
      <c r="B14" s="4" t="s">
        <v>90</v>
      </c>
      <c r="C14" s="25" t="s">
        <v>78</v>
      </c>
      <c r="D14" s="26" t="n">
        <f aca="false">(IFERROR(-D12/(1+Hypothèses!$C$34)^1,0)+IFERROR(-E12/(1+Hypothèses!$C$34)^2,0)+IFERROR(-F12/(1+Hypothèses!$C$34)^3,0)+IFERROR(-G12/(1+Hypothèses!$C$34)^4,0)+IFERROR(-H12/(1+Hypothèses!$C$34)^5,0))/5+IFERROR(Hypothèses!$C$32*D4,0)</f>
        <v>-44.6283958161426</v>
      </c>
      <c r="E14" s="26" t="n">
        <f aca="false">(IFERROR(-E12/(1+Hypothèses!$C$34)^1,0)+IFERROR(-F12/(1+Hypothèses!$C$34)^2,0)+IFERROR(-G12/(1+Hypothèses!$C$34)^3,0)+IFERROR(-H12/(1+Hypothèses!$C$34)^4,0)+IFERROR(-I12/(1+Hypothèses!$C$34)^5,0))/5+IFERROR(Hypothèses!$C$32*E4,0)</f>
        <v>-60.8487540958862</v>
      </c>
      <c r="F14" s="26" t="n">
        <f aca="false">(IFERROR(-F12/(1+Hypothèses!$C$34)^1,0)+IFERROR(-G12/(1+Hypothèses!$C$34)^2,0)+IFERROR(-H12/(1+Hypothèses!$C$34)^3,0)+IFERROR(-I12/(1+Hypothèses!$C$34)^4,0)+IFERROR(-J12/(1+Hypothèses!$C$34)^5,0))/5+IFERROR(Hypothèses!$C$32*F4,0)</f>
        <v>-61.1958049976969</v>
      </c>
      <c r="G14" s="26" t="n">
        <f aca="false">(IFERROR(-G12/(1+Hypothèses!$C$34)^1,0)+IFERROR(-H12/(1+Hypothèses!$C$34)^2,0)+IFERROR(-I12/(1+Hypothèses!$C$34)^3,0)+IFERROR(-J12/(1+Hypothèses!$C$34)^4,0)+IFERROR(-K12/(1+Hypothèses!$C$34)^5,0))/5+IFERROR(Hypothèses!$C$32*G4,0)</f>
        <v>-61.5518969028241</v>
      </c>
      <c r="H14" s="26" t="n">
        <f aca="false">(IFERROR(-H12/(1+Hypothèses!$C$34)^1,0)+IFERROR(-I12/(1+Hypothèses!$C$34)^2,0)+IFERROR(-J12/(1+Hypothèses!$C$34)^3,0)+IFERROR(-K12/(1+Hypothèses!$C$34)^4,0)+IFERROR(-L12/(1+Hypothèses!$C$34)^5,0))/5+IFERROR(Hypothèses!$C$32*H4,0)</f>
        <v>-61.9175919855533</v>
      </c>
      <c r="I14" s="26" t="n">
        <f aca="false">(IFERROR(-I12/(1+Hypothèses!$C$34)^1,0)+IFERROR(-J12/(1+Hypothèses!$C$34)^2,0)+IFERROR(-K12/(1+Hypothèses!$C$34)^3,0)+IFERROR(-L12/(1+Hypothèses!$C$34)^4,0)+IFERROR(-M12/(1+Hypothèses!$C$34)^5,0))/5+IFERROR(Hypothèses!$C$32*I4,0)</f>
        <v>-62.2934790213915</v>
      </c>
      <c r="J14" s="26" t="n">
        <f aca="false">(IFERROR(-J12/(1+Hypothèses!$C$34)^1,0)+IFERROR(-K12/(1+Hypothèses!$C$34)^2,0)+IFERROR(-L12/(1+Hypothèses!$C$34)^3,0)+IFERROR(-M12/(1+Hypothèses!$C$34)^4,0)+IFERROR(-N12/(1+Hypothèses!$C$34)^5,0))/5+IFERROR(Hypothèses!$C$32*J4,0)</f>
        <v>-62.6801744718939</v>
      </c>
      <c r="K14" s="26" t="n">
        <f aca="false">(IFERROR(-K12/(1+Hypothèses!$C$34)^1,0)+IFERROR(-L12/(1+Hypothèses!$C$34)^2,0)+IFERROR(-M12/(1+Hypothèses!$C$34)^3,0)+IFERROR(-N12/(1+Hypothèses!$C$34)^4,0)+IFERROR(-O12/(1+Hypothèses!$C$34)^5,0))/5+IFERROR(Hypothèses!$C$32*K4,0)</f>
        <v>-63.0783236125739</v>
      </c>
      <c r="L14" s="26" t="n">
        <f aca="false">(IFERROR(-L12/(1+Hypothèses!$C$34)^1,0)+IFERROR(-M12/(1+Hypothèses!$C$34)^2,0)+IFERROR(-N12/(1+Hypothèses!$C$34)^3,0)+IFERROR(-O12/(1+Hypothèses!$C$34)^4,0)+IFERROR(-P12/(1+Hypothèses!$C$34)^5,0))/5+IFERROR(Hypothèses!$C$32*L4,0)</f>
        <v>-63.4886017057163</v>
      </c>
      <c r="M14" s="26" t="n">
        <f aca="false">(IFERROR(-M12/(1+Hypothèses!$C$34)^1,0)+IFERROR(-N12/(1+Hypothèses!$C$34)^2,0)+IFERROR(-O12/(1+Hypothèses!$C$34)^3,0)+IFERROR(-P12/(1+Hypothèses!$C$34)^4,0)+IFERROR(-Q12/(1+Hypothèses!$C$34)^5,0))/5+IFERROR(Hypothèses!$C$32*M4,0)</f>
        <v>-63.9117152199982</v>
      </c>
      <c r="N14" s="26" t="n">
        <f aca="false">(IFERROR(-N12/(1+Hypothèses!$C$34)^1,0)+IFERROR(-O12/(1+Hypothèses!$C$34)^2,0)+IFERROR(-P12/(1+Hypothèses!$C$34)^3,0)+IFERROR(-Q12/(1+Hypothèses!$C$34)^4,0)+IFERROR(-R12/(1+Hypothèses!$C$34)^5,0))/5+IFERROR(Hypothèses!$C$32*N4,0)</f>
        <v>-64.3484030989175</v>
      </c>
      <c r="O14" s="26" t="n">
        <f aca="false">(IFERROR(-O12/(1+Hypothèses!$C$34)^1,0)+IFERROR(-P12/(1+Hypothèses!$C$34)^2,0)+IFERROR(-Q12/(1+Hypothèses!$C$34)^3,0)+IFERROR(-R12/(1+Hypothèses!$C$34)^4,0)+IFERROR(-S12/(1+Hypothèses!$C$34)^5,0))/5+IFERROR(Hypothèses!$C$32*O4,0)</f>
        <v>-64.7994380801218</v>
      </c>
      <c r="P14" s="26" t="n">
        <f aca="false">(IFERROR(-P12/(1+Hypothèses!$C$34)^1,0)+IFERROR(-Q12/(1+Hypothèses!$C$34)^2,0)+IFERROR(-R12/(1+Hypothèses!$C$34)^3,0)+IFERROR(-S12/(1+Hypothèses!$C$34)^4,0)+IFERROR(-T12/(1+Hypothèses!$C$34)^5,0))/5+IFERROR(Hypothèses!$C$32*P4,0)</f>
        <v>-65.1245723848536</v>
      </c>
      <c r="Q14" s="26" t="n">
        <f aca="false">(IFERROR(-Q12/(1+Hypothèses!$C$34)^1,0)+IFERROR(-R12/(1+Hypothèses!$C$34)^2,0)+IFERROR(-S12/(1+Hypothèses!$C$34)^3,0)+IFERROR(-T12/(1+Hypothèses!$C$34)^4,0)+IFERROR(-U12/(1+Hypothèses!$C$34)^5,0))/5+IFERROR(Hypothèses!$C$32*Q4,0)</f>
        <v>-65.315435920678</v>
      </c>
      <c r="R14" s="26" t="n">
        <f aca="false">(IFERROR(-R12/(1+Hypothèses!$C$34)^1,0)+IFERROR(-S12/(1+Hypothèses!$C$34)^2,0)+IFERROR(-T12/(1+Hypothèses!$C$34)^3,0)+IFERROR(-U12/(1+Hypothèses!$C$34)^4,0)+IFERROR(-V12/(1+Hypothèses!$C$34)^5,0))/5+IFERROR(Hypothèses!$C$32*R4,0)</f>
        <v>-65.3632831917358</v>
      </c>
      <c r="S14" s="26" t="n">
        <f aca="false">(IFERROR(-S12/(1+Hypothèses!$C$34)^1,0)+IFERROR(-T12/(1+Hypothèses!$C$34)^2,0)+IFERROR(-U12/(1+Hypothèses!$C$34)^3,0)+IFERROR(-V12/(1+Hypothèses!$C$34)^4,0)+IFERROR(-W12/(1+Hypothèses!$C$34)^5,0))/5+IFERROR(Hypothèses!$C$32*S4,0)</f>
        <v>-65.2589786820068</v>
      </c>
      <c r="T14" s="26" t="n">
        <f aca="false">(IFERROR(-T12/(1+Hypothèses!$C$34)^1,0)+IFERROR(-U12/(1+Hypothèses!$C$34)^2,0)+IFERROR(-V12/(1+Hypothèses!$C$34)^3,0)+IFERROR(-W12/(1+Hypothèses!$C$34)^4,0)+IFERROR(-X12/(1+Hypothèses!$C$34)^5,0))/5+IFERROR(Hypothèses!$C$32*T4,0)</f>
        <v>-64.9929816935143</v>
      </c>
      <c r="U14" s="26" t="n">
        <f aca="false">(IFERROR(-U12/(1+Hypothèses!$C$34)^1,0)+IFERROR(-V12/(1+Hypothèses!$C$34)^2,0)+IFERROR(-W12/(1+Hypothèses!$C$34)^3,0)+IFERROR(-X12/(1+Hypothèses!$C$34)^4,0)+IFERROR(-Y12/(1+Hypothèses!$C$34)^5,0))/5+IFERROR(Hypothèses!$C$32*U4,0)</f>
        <v>-64.7110674904209</v>
      </c>
      <c r="V14" s="26" t="n">
        <f aca="false">(IFERROR(-V12/(1+Hypothèses!$C$34)^1,0)+IFERROR(-W12/(1+Hypothèses!$C$34)^2,0)+IFERROR(-X12/(1+Hypothèses!$C$34)^3,0)+IFERROR(-Y12/(1+Hypothèses!$C$34)^4,0)+IFERROR(-Z12/(1+Hypothèses!$C$34)^5,0))/5+IFERROR(Hypothèses!$C$32*V4,0)</f>
        <v>-64.4130108933856</v>
      </c>
      <c r="W14" s="26" t="n">
        <f aca="false">(IFERROR(-W12/(1+Hypothèses!$C$34)^1,0)+IFERROR(-X12/(1+Hypothèses!$C$34)^2,0)+IFERROR(-Y12/(1+Hypothèses!$C$34)^3,0)+IFERROR(-Z12/(1+Hypothèses!$C$34)^4,0)+IFERROR(-AA12/(1+Hypothèses!$C$34)^5,0))/5+IFERROR(Hypothèses!$C$32*W4,0)</f>
        <v>-64.0985890920345</v>
      </c>
      <c r="X14" s="26" t="n">
        <f aca="false">(IFERROR(-X12/(1+Hypothèses!$C$34)^1,0)+IFERROR(-Y12/(1+Hypothèses!$C$34)^2,0)+IFERROR(-Z12/(1+Hypothèses!$C$34)^3,0)+IFERROR(-AA12/(1+Hypothèses!$C$34)^4,0)+IFERROR(-AB12/(1+Hypothèses!$C$34)^5,0))/5+IFERROR(Hypothèses!$C$32*X4,0)</f>
        <v>-63.7675819309037</v>
      </c>
      <c r="Y14" s="26" t="n">
        <f aca="false">(IFERROR(-Y12/(1+Hypothèses!$C$34)^1,0)+IFERROR(-Z12/(1+Hypothèses!$C$34)^2,0)+IFERROR(-AA12/(1+Hypothèses!$C$34)^3,0)+IFERROR(-AB12/(1+Hypothèses!$C$34)^4,0)+IFERROR(-AC12/(1+Hypothèses!$C$34)^5,0))/5+IFERROR(Hypothèses!$C$32*Y4,0)</f>
        <v>-63.419772208553</v>
      </c>
      <c r="Z14" s="26" t="n">
        <f aca="false">(IFERROR(-Z12/(1+Hypothèses!$C$34)^1,0)+IFERROR(-AA12/(1+Hypothèses!$C$34)^2,0)+IFERROR(-AB12/(1+Hypothèses!$C$34)^3,0)+IFERROR(-AC12/(1+Hypothèses!$C$34)^4,0)+IFERROR(-AD12/(1+Hypothèses!$C$34)^5,0))/5+IFERROR(Hypothèses!$C$32*Z4,0)</f>
        <v>-62.8580654831949</v>
      </c>
      <c r="AA14" s="26" t="n">
        <f aca="false">(IFERROR(-AA12/(1+Hypothèses!$C$34)^1,0)+IFERROR(-AB12/(1+Hypothèses!$C$34)^2,0)+IFERROR(-AC12/(1+Hypothèses!$C$34)^3,0)+IFERROR(-AD12/(1+Hypothèses!$C$34)^4,0)+IFERROR(-AE12/(1+Hypothèses!$C$34)^5,0))/5+IFERROR(Hypothèses!$C$32*AA4,0)</f>
        <v>-62.0701217290362</v>
      </c>
      <c r="AB14" s="26" t="n">
        <f aca="false">(IFERROR(-AB12/(1+Hypothèses!$C$34)^1,0)+IFERROR(-AC12/(1+Hypothèses!$C$34)^2,0)+IFERROR(-AD12/(1+Hypothèses!$C$34)^3,0)+IFERROR(-AE12/(1+Hypothèses!$C$34)^4,0)+IFERROR(-AF12/(1+Hypothèses!$C$34)^5,0))/5+IFERROR(Hypothèses!$C$32*AB4,0)</f>
        <v>-61.0431020374631</v>
      </c>
      <c r="AC14" s="26" t="n">
        <f aca="false">(IFERROR(-AC12/(1+Hypothèses!$C$34)^1,0)+IFERROR(-AD12/(1+Hypothèses!$C$34)^2,0)+IFERROR(-AE12/(1+Hypothèses!$C$34)^3,0)+IFERROR(-AF12/(1+Hypothèses!$C$34)^4,0)+IFERROR(-AG12/(1+Hypothèses!$C$34)^5,0))/5+IFERROR(Hypothèses!$C$32*AC4,0)</f>
        <v>-59.763651387062</v>
      </c>
      <c r="AD14" s="26" t="n">
        <f aca="false">(IFERROR(-AD12/(1+Hypothèses!$C$34)^1,0)+IFERROR(-AE12/(1+Hypothèses!$C$34)^2,0)+IFERROR(-AF12/(1+Hypothèses!$C$34)^3,0)+IFERROR(-AG12/(1+Hypothèses!$C$34)^4,0)+IFERROR(-AH12/(1+Hypothèses!$C$34)^5,0))/5+IFERROR(Hypothèses!$C$32*AD4,0)</f>
        <v>-58.2178808661965</v>
      </c>
      <c r="AE14" s="26" t="n">
        <f aca="false">(IFERROR(-AE12/(1+Hypothèses!$C$34)^1,0)+IFERROR(-AF12/(1+Hypothèses!$C$34)^2,0)+IFERROR(-AG12/(1+Hypothèses!$C$34)^3,0)+IFERROR(-AH12/(1+Hypothèses!$C$34)^4,0))/4+IFERROR(Hypothèses!$C$32*AE4,0)</f>
        <v>-57.9975977021214</v>
      </c>
      <c r="AF14" s="26" t="n">
        <f aca="false">(IFERROR(-AF12/(1+Hypothèses!$C$34)^1,0)+IFERROR(-AG12/(1+Hypothèses!$C$34)^2,0)+IFERROR(-AH12/(1+Hypothèses!$C$34)^3,0))/3+IFERROR(Hypothèses!$C$32*AF4,0)</f>
        <v>-57.7527240908601</v>
      </c>
      <c r="AG14" s="26" t="n">
        <f aca="false">(IFERROR(-AG12/(1+Hypothèses!$C$34)^1,0)+IFERROR(-AH12/(1+Hypothèses!$C$34)^2,0))/2+IFERROR(Hypothèses!$C$32*AG4,0)</f>
        <v>-57.4824771235139</v>
      </c>
      <c r="AH14" s="26" t="n">
        <f aca="false">(IFERROR(-AH12/(1+Hypothèses!$C$34)^1,0))/1+IFERROR(Hypothèses!$C$32*AH4,0)</f>
        <v>-57.1860541071187</v>
      </c>
    </row>
    <row r="15" customFormat="false" ht="15.75" hidden="false" customHeight="true" outlineLevel="0" collapsed="false">
      <c r="B15" s="31" t="s">
        <v>91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</row>
    <row r="16" customFormat="false" ht="13.5" hidden="false" customHeight="true" outlineLevel="0" collapsed="false">
      <c r="B16" s="4" t="s">
        <v>92</v>
      </c>
      <c r="C16" s="25" t="s">
        <v>78</v>
      </c>
      <c r="D16" s="32" t="n">
        <f aca="false">0</f>
        <v>0</v>
      </c>
      <c r="E16" s="32" t="n">
        <f aca="false">(Hypothèses!$C$36+Hypothèses!$C$37+Hypothèses!$C$38)*0.3333</f>
        <v>1.16655</v>
      </c>
      <c r="F16" s="32" t="n">
        <f aca="false">(Hypothèses!$C$36+Hypothèses!$C$37+Hypothèses!$C$38)*0.6667</f>
        <v>2.33345</v>
      </c>
      <c r="G16" s="32" t="n">
        <f aca="false">(Hypothèses!$C$36+Hypothèses!$C$37+Hypothèses!$C$38)*1</f>
        <v>3.5</v>
      </c>
      <c r="H16" s="32" t="n">
        <f aca="false">(Hypothèses!$C$36+Hypothèses!$C$37+Hypothèses!$C$38)</f>
        <v>3.5</v>
      </c>
      <c r="I16" s="32" t="n">
        <f aca="false">(Hypothèses!$C$36+Hypothèses!$C$37+Hypothèses!$C$38)</f>
        <v>3.5</v>
      </c>
      <c r="J16" s="32" t="n">
        <f aca="false">(Hypothèses!$C$36+Hypothèses!$C$37+Hypothèses!$C$38)</f>
        <v>3.5</v>
      </c>
      <c r="K16" s="32" t="n">
        <f aca="false">(Hypothèses!$C$36+Hypothèses!$C$37+Hypothèses!$C$38)</f>
        <v>3.5</v>
      </c>
      <c r="L16" s="32" t="n">
        <f aca="false">(Hypothèses!$C$36+Hypothèses!$C$37+Hypothèses!$C$38)</f>
        <v>3.5</v>
      </c>
      <c r="M16" s="32" t="n">
        <f aca="false">(Hypothèses!$C$36+Hypothèses!$C$37+Hypothèses!$C$38)</f>
        <v>3.5</v>
      </c>
      <c r="N16" s="32" t="n">
        <f aca="false">(Hypothèses!$C$36+Hypothèses!$C$37+Hypothèses!$C$38)</f>
        <v>3.5</v>
      </c>
      <c r="O16" s="32" t="n">
        <f aca="false">(Hypothèses!$C$36+Hypothèses!$C$37+Hypothèses!$C$38)</f>
        <v>3.5</v>
      </c>
      <c r="P16" s="32" t="n">
        <f aca="false">(Hypothèses!$C$36+Hypothèses!$C$37+Hypothèses!$C$38)</f>
        <v>3.5</v>
      </c>
      <c r="Q16" s="32" t="n">
        <f aca="false">(Hypothèses!$C$36+Hypothèses!$C$37+Hypothèses!$C$38)</f>
        <v>3.5</v>
      </c>
      <c r="R16" s="32" t="n">
        <f aca="false">(Hypothèses!$C$36+Hypothèses!$C$37+Hypothèses!$C$38)</f>
        <v>3.5</v>
      </c>
      <c r="S16" s="32" t="n">
        <f aca="false">(Hypothèses!$C$36+Hypothèses!$C$37+Hypothèses!$C$38)</f>
        <v>3.5</v>
      </c>
      <c r="T16" s="32" t="n">
        <f aca="false">(Hypothèses!$C$36+Hypothèses!$C$37+Hypothèses!$C$38)</f>
        <v>3.5</v>
      </c>
      <c r="U16" s="32" t="n">
        <f aca="false">(Hypothèses!$C$36+Hypothèses!$C$37+Hypothèses!$C$38)</f>
        <v>3.5</v>
      </c>
      <c r="V16" s="32" t="n">
        <f aca="false">(Hypothèses!$C$36+Hypothèses!$C$37+Hypothèses!$C$38)</f>
        <v>3.5</v>
      </c>
      <c r="W16" s="32" t="n">
        <f aca="false">(Hypothèses!$C$36+Hypothèses!$C$37+Hypothèses!$C$38)</f>
        <v>3.5</v>
      </c>
      <c r="X16" s="32" t="n">
        <f aca="false">(Hypothèses!$C$36+Hypothèses!$C$37+Hypothèses!$C$38)</f>
        <v>3.5</v>
      </c>
      <c r="Y16" s="32" t="n">
        <f aca="false">(Hypothèses!$C$36+Hypothèses!$C$37+Hypothèses!$C$38)</f>
        <v>3.5</v>
      </c>
      <c r="Z16" s="32" t="n">
        <f aca="false">(Hypothèses!$C$36+Hypothèses!$C$37+Hypothèses!$C$38)</f>
        <v>3.5</v>
      </c>
      <c r="AA16" s="32" t="n">
        <f aca="false">(Hypothèses!$C$36+Hypothèses!$C$37+Hypothèses!$C$38)</f>
        <v>3.5</v>
      </c>
      <c r="AB16" s="32" t="n">
        <f aca="false">(Hypothèses!$C$36+Hypothèses!$C$37+Hypothèses!$C$38)</f>
        <v>3.5</v>
      </c>
      <c r="AC16" s="32" t="n">
        <f aca="false">(Hypothèses!$C$36+Hypothèses!$C$37+Hypothèses!$C$38)</f>
        <v>3.5</v>
      </c>
      <c r="AD16" s="32" t="n">
        <f aca="false">(Hypothèses!$C$36+Hypothèses!$C$37+Hypothèses!$C$38)</f>
        <v>3.5</v>
      </c>
      <c r="AE16" s="32" t="n">
        <f aca="false">(Hypothèses!$C$36+Hypothèses!$C$37+Hypothèses!$C$38)</f>
        <v>3.5</v>
      </c>
      <c r="AF16" s="32" t="n">
        <f aca="false">(Hypothèses!$C$36+Hypothèses!$C$37+Hypothèses!$C$38)</f>
        <v>3.5</v>
      </c>
      <c r="AG16" s="32" t="n">
        <f aca="false">(Hypothèses!$C$36+Hypothèses!$C$37+Hypothèses!$C$38)</f>
        <v>3.5</v>
      </c>
      <c r="AH16" s="32" t="n">
        <f aca="false">(Hypothèses!$C$36+Hypothèses!$C$37+Hypothèses!$C$38)</f>
        <v>3.5</v>
      </c>
    </row>
    <row r="17" customFormat="false" ht="15.75" hidden="false" customHeight="true" outlineLevel="0" collapsed="false">
      <c r="B17" s="33" t="s">
        <v>93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 customFormat="false" ht="13.5" hidden="false" customHeight="true" outlineLevel="0" collapsed="false">
      <c r="B18" s="4" t="s">
        <v>94</v>
      </c>
      <c r="C18" s="25" t="s">
        <v>78</v>
      </c>
      <c r="D18" s="34" t="n">
        <f aca="false">Hypothèses!$C$22*Hypothèses!$C$23</f>
        <v>7.86</v>
      </c>
      <c r="E18" s="34" t="n">
        <f aca="false">Hypothèses!$C$22*Hypothèses!$C$23</f>
        <v>7.86</v>
      </c>
      <c r="F18" s="34" t="n">
        <f aca="false">Hypothèses!$C$22*Hypothèses!$C$23</f>
        <v>7.86</v>
      </c>
      <c r="G18" s="34" t="n">
        <f aca="false">Hypothèses!$C$22*Hypothèses!$C$23</f>
        <v>7.86</v>
      </c>
      <c r="H18" s="34" t="n">
        <f aca="false">Hypothèses!$C$22*Hypothèses!$C$23</f>
        <v>7.86</v>
      </c>
      <c r="I18" s="34" t="n">
        <f aca="false">Hypothèses!$C$22*Hypothèses!$C$23</f>
        <v>7.86</v>
      </c>
      <c r="J18" s="34" t="n">
        <f aca="false">Hypothèses!$C$22*Hypothèses!$C$23</f>
        <v>7.86</v>
      </c>
      <c r="K18" s="34" t="n">
        <f aca="false">Hypothèses!$C$22*Hypothèses!$C$23</f>
        <v>7.86</v>
      </c>
      <c r="L18" s="34" t="n">
        <f aca="false">Hypothèses!$C$22*Hypothèses!$C$23</f>
        <v>7.86</v>
      </c>
      <c r="M18" s="34" t="n">
        <f aca="false">Hypothèses!$C$22*Hypothèses!$C$23</f>
        <v>7.86</v>
      </c>
      <c r="N18" s="34" t="n">
        <f aca="false">Hypothèses!$C$22*Hypothèses!$C$23</f>
        <v>7.86</v>
      </c>
      <c r="O18" s="34" t="n">
        <f aca="false">Hypothèses!$C$22*Hypothèses!$C$23</f>
        <v>7.86</v>
      </c>
      <c r="P18" s="34" t="n">
        <f aca="false">Hypothèses!$C$22*Hypothèses!$C$23</f>
        <v>7.86</v>
      </c>
      <c r="Q18" s="34" t="n">
        <f aca="false">Hypothèses!$C$22*Hypothèses!$C$23</f>
        <v>7.86</v>
      </c>
      <c r="R18" s="34" t="n">
        <f aca="false">Hypothèses!$C$22*Hypothèses!$C$23</f>
        <v>7.86</v>
      </c>
      <c r="S18" s="34" t="n">
        <f aca="false">Hypothèses!$C$22*Hypothèses!$C$23</f>
        <v>7.86</v>
      </c>
      <c r="T18" s="34" t="n">
        <f aca="false">Hypothèses!$C$22*Hypothèses!$C$23</f>
        <v>7.86</v>
      </c>
      <c r="U18" s="34" t="n">
        <f aca="false">Hypothèses!$C$22*Hypothèses!$C$23</f>
        <v>7.86</v>
      </c>
      <c r="V18" s="34" t="n">
        <f aca="false">Hypothèses!$C$22*Hypothèses!$C$23</f>
        <v>7.86</v>
      </c>
      <c r="W18" s="34" t="n">
        <f aca="false">Hypothèses!$C$22*Hypothèses!$C$23</f>
        <v>7.86</v>
      </c>
      <c r="X18" s="34" t="n">
        <f aca="false">Hypothèses!$C$22*Hypothèses!$C$23</f>
        <v>7.86</v>
      </c>
      <c r="Y18" s="34" t="n">
        <f aca="false">Hypothèses!$C$22*Hypothèses!$C$23</f>
        <v>7.86</v>
      </c>
      <c r="Z18" s="34" t="n">
        <f aca="false">Hypothèses!$C$22*Hypothèses!$C$23</f>
        <v>7.86</v>
      </c>
      <c r="AA18" s="34" t="n">
        <f aca="false">Hypothèses!$C$22*Hypothèses!$C$23</f>
        <v>7.86</v>
      </c>
      <c r="AB18" s="34" t="n">
        <f aca="false">Hypothèses!$C$22*Hypothèses!$C$23</f>
        <v>7.86</v>
      </c>
      <c r="AC18" s="34" t="n">
        <f aca="false">Hypothèses!$C$22*Hypothèses!$C$23</f>
        <v>7.86</v>
      </c>
      <c r="AD18" s="34" t="n">
        <f aca="false">Hypothèses!$C$22*Hypothèses!$C$23</f>
        <v>7.86</v>
      </c>
      <c r="AE18" s="34" t="n">
        <f aca="false">Hypothèses!$C$22*Hypothèses!$C$23</f>
        <v>7.86</v>
      </c>
      <c r="AF18" s="34" t="n">
        <f aca="false">Hypothèses!$C$22*Hypothèses!$C$23</f>
        <v>7.86</v>
      </c>
      <c r="AG18" s="34" t="n">
        <f aca="false">Hypothèses!$C$22*Hypothèses!$C$23</f>
        <v>7.86</v>
      </c>
      <c r="AH18" s="34" t="n">
        <f aca="false">Hypothèses!$C$22*Hypothèses!$C$23</f>
        <v>7.86</v>
      </c>
    </row>
    <row r="19" customFormat="false" ht="13.5" hidden="false" customHeight="true" outlineLevel="0" collapsed="false">
      <c r="B19" s="4" t="s">
        <v>95</v>
      </c>
      <c r="C19" s="25" t="s">
        <v>78</v>
      </c>
      <c r="D19" s="34" t="n">
        <f aca="false">Hypothèses!$C$22*(1-Hypothèses!$C$23)</f>
        <v>18.34</v>
      </c>
      <c r="E19" s="34" t="n">
        <f aca="false">MAX(0,D19+D19*Hypothèses!$C$24*Hypothèses!$C$28+MAX(0,-E12*0.15)+E16*0.3-MIN(MAX(0,E14-E14*Hypothèses!$C$33),D19*Hypothèses!$C$27))</f>
        <v>19.331865</v>
      </c>
      <c r="F19" s="34" t="n">
        <f aca="false">MAX(0,E19+E19*Hypothèses!$C$24*Hypothèses!$C$28+MAX(0,-F12*0.15)+F16*0.3-MIN(MAX(0,F14-F14*Hypothèses!$C$33),E19*Hypothèses!$C$27))</f>
        <v>20.708515275</v>
      </c>
      <c r="G19" s="34" t="n">
        <f aca="false">MAX(0,F19+F19*Hypothèses!$C$24*Hypothèses!$C$28+MAX(0,-G12*0.15)+G16*0.3-MIN(MAX(0,G14-G14*Hypothèses!$C$33),F19*Hypothèses!$C$27))</f>
        <v>22.483313309625</v>
      </c>
      <c r="H19" s="34" t="n">
        <f aca="false">MAX(0,G19+G19*Hypothèses!$C$24*Hypothèses!$C$28+MAX(0,-H12*0.15)+H16*0.3-MIN(MAX(0,H14-H14*Hypothèses!$C$33),G19*Hypothèses!$C$27))</f>
        <v>24.3202292754619</v>
      </c>
      <c r="I19" s="34" t="n">
        <f aca="false">MAX(0,H19+H19*Hypothèses!$C$24*Hypothèses!$C$28+MAX(0,-I12*0.15)+I16*0.3-MIN(MAX(0,I14-I14*Hypothèses!$C$33),H19*Hypothèses!$C$27))</f>
        <v>26.221437300103</v>
      </c>
      <c r="J19" s="34" t="n">
        <f aca="false">MAX(0,I19+I19*Hypothèses!$C$24*Hypothèses!$C$28+MAX(0,-J12*0.15)+J16*0.3-MIN(MAX(0,J14-J14*Hypothèses!$C$33),I19*Hypothèses!$C$27))</f>
        <v>28.1891876056067</v>
      </c>
      <c r="K19" s="34" t="n">
        <f aca="false">MAX(0,J19+J19*Hypothèses!$C$24*Hypothèses!$C$28+MAX(0,-K12*0.15)+K16*0.3-MIN(MAX(0,K14-K14*Hypothèses!$C$33),J19*Hypothèses!$C$27))</f>
        <v>30.2258091718029</v>
      </c>
      <c r="L19" s="34" t="n">
        <f aca="false">MAX(0,K19+K19*Hypothèses!$C$24*Hypothèses!$C$28+MAX(0,-L12*0.15)+L16*0.3-MIN(MAX(0,L14-L14*Hypothèses!$C$33),K19*Hypothèses!$C$27))</f>
        <v>32.333712492816</v>
      </c>
      <c r="M19" s="34" t="n">
        <f aca="false">MAX(0,L19+L19*Hypothèses!$C$24*Hypothèses!$C$28+MAX(0,-M12*0.15)+M16*0.3-MIN(MAX(0,M14-M14*Hypothèses!$C$33),L19*Hypothèses!$C$27))</f>
        <v>34.5153924300645</v>
      </c>
      <c r="N19" s="34" t="n">
        <f aca="false">MAX(0,M19+M19*Hypothèses!$C$24*Hypothèses!$C$28+MAX(0,-N12*0.15)+N16*0.3-MIN(MAX(0,N14-N14*Hypothèses!$C$33),M19*Hypothèses!$C$27))</f>
        <v>36.7734311651168</v>
      </c>
      <c r="O19" s="34" t="n">
        <f aca="false">MAX(0,N19+N19*Hypothèses!$C$24*Hypothèses!$C$28+MAX(0,-O12*0.15)+O16*0.3-MIN(MAX(0,O14-O14*Hypothèses!$C$33),N19*Hypothèses!$C$27))</f>
        <v>39.1105012558959</v>
      </c>
      <c r="P19" s="34" t="n">
        <f aca="false">MAX(0,O19+O19*Hypothèses!$C$24*Hypothèses!$C$28+MAX(0,-P12*0.15)+P16*0.3-MIN(MAX(0,P14-P14*Hypothèses!$C$33),O19*Hypothèses!$C$27))</f>
        <v>41.5293687998522</v>
      </c>
      <c r="Q19" s="34" t="n">
        <f aca="false">MAX(0,P19+P19*Hypothèses!$C$24*Hypothèses!$C$28+MAX(0,-Q12*0.15)+Q16*0.3-MIN(MAX(0,Q14-Q14*Hypothèses!$C$33),P19*Hypothèses!$C$27))</f>
        <v>44.0328967078471</v>
      </c>
      <c r="R19" s="34" t="n">
        <f aca="false">MAX(0,Q19+Q19*Hypothèses!$C$24*Hypothèses!$C$28+MAX(0,-R12*0.15)+R16*0.3-MIN(MAX(0,R14-R14*Hypothèses!$C$33),Q19*Hypothèses!$C$27))</f>
        <v>46.6240480926217</v>
      </c>
      <c r="S19" s="34" t="n">
        <f aca="false">MAX(0,R19+R19*Hypothèses!$C$24*Hypothèses!$C$28+MAX(0,-S12*0.15)+S16*0.3-MIN(MAX(0,S14-S14*Hypothèses!$C$33),R19*Hypothèses!$C$27))</f>
        <v>49.3058897758635</v>
      </c>
      <c r="T19" s="34" t="n">
        <f aca="false">MAX(0,S19+S19*Hypothèses!$C$24*Hypothèses!$C$28+MAX(0,-T12*0.15)+T16*0.3-MIN(MAX(0,T14-T14*Hypothèses!$C$33),S19*Hypothèses!$C$27))</f>
        <v>52.0815959180187</v>
      </c>
      <c r="U19" s="34" t="n">
        <f aca="false">MAX(0,T19+T19*Hypothèses!$C$24*Hypothèses!$C$28+MAX(0,-U12*0.15)+U16*0.3-MIN(MAX(0,U14-U14*Hypothèses!$C$33),T19*Hypothèses!$C$27))</f>
        <v>54.9544517751493</v>
      </c>
      <c r="V19" s="34" t="n">
        <f aca="false">MAX(0,U19+U19*Hypothèses!$C$24*Hypothèses!$C$28+MAX(0,-V12*0.15)+V16*0.3-MIN(MAX(0,V14-V14*Hypothèses!$C$33),U19*Hypothèses!$C$27))</f>
        <v>57.9278575872795</v>
      </c>
      <c r="W19" s="34" t="n">
        <f aca="false">MAX(0,V19+V19*Hypothèses!$C$24*Hypothèses!$C$28+MAX(0,-W12*0.15)+W16*0.3-MIN(MAX(0,W14-W14*Hypothèses!$C$33),V19*Hypothèses!$C$27))</f>
        <v>61.0053326028343</v>
      </c>
      <c r="X19" s="34" t="n">
        <f aca="false">MAX(0,W19+W19*Hypothèses!$C$24*Hypothèses!$C$28+MAX(0,-X12*0.15)+X16*0.3-MIN(MAX(0,X14-X14*Hypothèses!$C$33),W19*Hypothèses!$C$27))</f>
        <v>64.1905192439335</v>
      </c>
      <c r="Y19" s="34" t="n">
        <f aca="false">MAX(0,X19+X19*Hypothèses!$C$24*Hypothèses!$C$28+MAX(0,-Y12*0.15)+Y16*0.3-MIN(MAX(0,Y14-Y14*Hypothèses!$C$33),X19*Hypothèses!$C$27))</f>
        <v>67.4871874174712</v>
      </c>
      <c r="Z19" s="34" t="n">
        <f aca="false">MAX(0,Y19+Y19*Hypothèses!$C$24*Hypothèses!$C$28+MAX(0,-Z12*0.15)+Z16*0.3-MIN(MAX(0,Z14-Z14*Hypothèses!$C$33),Y19*Hypothèses!$C$27))</f>
        <v>70.8992389770827</v>
      </c>
      <c r="AA19" s="34" t="n">
        <f aca="false">MAX(0,Z19+Z19*Hypothèses!$C$24*Hypothèses!$C$28+MAX(0,-AA12*0.15)+AA16*0.3-MIN(MAX(0,AA14-AA14*Hypothèses!$C$33),Z19*Hypothèses!$C$27))</f>
        <v>74.4307123412806</v>
      </c>
      <c r="AB19" s="34" t="n">
        <f aca="false">MAX(0,AA19+AA19*Hypothèses!$C$24*Hypothèses!$C$28+MAX(0,-AB12*0.15)+AB16*0.3-MIN(MAX(0,AB14-AB14*Hypothèses!$C$33),AA19*Hypothèses!$C$27))</f>
        <v>78.0857872732254</v>
      </c>
      <c r="AC19" s="34" t="n">
        <f aca="false">MAX(0,AB19+AB19*Hypothèses!$C$24*Hypothèses!$C$28+MAX(0,-AC12*0.15)+AC16*0.3-MIN(MAX(0,AC14-AC14*Hypothèses!$C$33),AB19*Hypothèses!$C$27))</f>
        <v>81.8687898277883</v>
      </c>
      <c r="AD19" s="34" t="n">
        <f aca="false">MAX(0,AC19+AC19*Hypothèses!$C$24*Hypothèses!$C$28+MAX(0,-AD12*0.15)+AD16*0.3-MIN(MAX(0,AD14-AD14*Hypothèses!$C$33),AC19*Hypothèses!$C$27))</f>
        <v>85.7841974717609</v>
      </c>
      <c r="AE19" s="34" t="n">
        <f aca="false">MAX(0,AD19+AD19*Hypothèses!$C$24*Hypothèses!$C$28+MAX(0,-AE12*0.15)+AE16*0.3-MIN(MAX(0,AE14-AE14*Hypothèses!$C$33),AD19*Hypothèses!$C$27))</f>
        <v>89.8366443832725</v>
      </c>
      <c r="AF19" s="34" t="n">
        <f aca="false">MAX(0,AE19+AE19*Hypothèses!$C$24*Hypothèses!$C$28+MAX(0,-AF12*0.15)+AF16*0.3-MIN(MAX(0,AF14-AF14*Hypothèses!$C$33),AE19*Hypothèses!$C$27))</f>
        <v>94.030926936687</v>
      </c>
      <c r="AG19" s="34" t="n">
        <f aca="false">MAX(0,AF19+AF19*Hypothèses!$C$24*Hypothèses!$C$28+MAX(0,-AG12*0.15)+AG16*0.3-MIN(MAX(0,AG14-AG14*Hypothèses!$C$33),AF19*Hypothèses!$C$27))</f>
        <v>98.3720093794711</v>
      </c>
      <c r="AH19" s="34" t="n">
        <f aca="false">MAX(0,AG19+AG19*Hypothèses!$C$24*Hypothèses!$C$28+MAX(0,-AH12*0.15)+AH16*0.3-MIN(MAX(0,AH14-AH14*Hypothèses!$C$33),AG19*Hypothèses!$C$27))</f>
        <v>102.865029707753</v>
      </c>
    </row>
    <row r="20" customFormat="false" ht="13.5" hidden="false" customHeight="true" outlineLevel="0" collapsed="false">
      <c r="B20" s="4" t="s">
        <v>96</v>
      </c>
      <c r="C20" s="25" t="s">
        <v>78</v>
      </c>
      <c r="D20" s="34" t="n">
        <f aca="false">D18+D19</f>
        <v>26.2</v>
      </c>
      <c r="E20" s="34" t="n">
        <f aca="false">E18+E19</f>
        <v>27.191865</v>
      </c>
      <c r="F20" s="34" t="n">
        <f aca="false">F18+F19</f>
        <v>28.568515275</v>
      </c>
      <c r="G20" s="34" t="n">
        <f aca="false">G18+G19</f>
        <v>30.343313309625</v>
      </c>
      <c r="H20" s="34" t="n">
        <f aca="false">H18+H19</f>
        <v>32.1802292754619</v>
      </c>
      <c r="I20" s="34" t="n">
        <f aca="false">I18+I19</f>
        <v>34.0814373001031</v>
      </c>
      <c r="J20" s="34" t="n">
        <f aca="false">J18+J19</f>
        <v>36.0491876056067</v>
      </c>
      <c r="K20" s="34" t="n">
        <f aca="false">K18+K19</f>
        <v>38.0858091718029</v>
      </c>
      <c r="L20" s="34" t="n">
        <f aca="false">L18+L19</f>
        <v>40.193712492816</v>
      </c>
      <c r="M20" s="34" t="n">
        <f aca="false">M18+M19</f>
        <v>42.3753924300645</v>
      </c>
      <c r="N20" s="34" t="n">
        <f aca="false">N18+N19</f>
        <v>44.6334311651168</v>
      </c>
      <c r="O20" s="34" t="n">
        <f aca="false">O18+O19</f>
        <v>46.9705012558959</v>
      </c>
      <c r="P20" s="34" t="n">
        <f aca="false">P18+P19</f>
        <v>49.3893687998522</v>
      </c>
      <c r="Q20" s="34" t="n">
        <f aca="false">Q18+Q19</f>
        <v>51.8928967078471</v>
      </c>
      <c r="R20" s="34" t="n">
        <f aca="false">R18+R19</f>
        <v>54.4840480926217</v>
      </c>
      <c r="S20" s="34" t="n">
        <f aca="false">S18+S19</f>
        <v>57.1658897758635</v>
      </c>
      <c r="T20" s="34" t="n">
        <f aca="false">T18+T19</f>
        <v>59.9415959180187</v>
      </c>
      <c r="U20" s="34" t="n">
        <f aca="false">U18+U19</f>
        <v>62.8144517751493</v>
      </c>
      <c r="V20" s="34" t="n">
        <f aca="false">V18+V19</f>
        <v>65.7878575872796</v>
      </c>
      <c r="W20" s="34" t="n">
        <f aca="false">W18+W19</f>
        <v>68.8653326028343</v>
      </c>
      <c r="X20" s="34" t="n">
        <f aca="false">X18+X19</f>
        <v>72.0505192439335</v>
      </c>
      <c r="Y20" s="34" t="n">
        <f aca="false">Y18+Y19</f>
        <v>75.3471874174712</v>
      </c>
      <c r="Z20" s="34" t="n">
        <f aca="false">Z18+Z19</f>
        <v>78.7592389770827</v>
      </c>
      <c r="AA20" s="34" t="n">
        <f aca="false">AA18+AA19</f>
        <v>82.2907123412806</v>
      </c>
      <c r="AB20" s="34" t="n">
        <f aca="false">AB18+AB19</f>
        <v>85.9457872732254</v>
      </c>
      <c r="AC20" s="34" t="n">
        <f aca="false">AC18+AC19</f>
        <v>89.7287898277883</v>
      </c>
      <c r="AD20" s="34" t="n">
        <f aca="false">AD18+AD19</f>
        <v>93.6441974717609</v>
      </c>
      <c r="AE20" s="34" t="n">
        <f aca="false">AE18+AE19</f>
        <v>97.6966443832725</v>
      </c>
      <c r="AF20" s="34" t="n">
        <f aca="false">AF18+AF19</f>
        <v>101.890926936687</v>
      </c>
      <c r="AG20" s="34" t="n">
        <f aca="false">AG18+AG19</f>
        <v>106.232009379471</v>
      </c>
      <c r="AH20" s="34" t="n">
        <f aca="false">AH18+AH19</f>
        <v>110.725029707753</v>
      </c>
    </row>
    <row r="21" customFormat="false" ht="13.5" hidden="false" customHeight="true" outlineLevel="0" collapsed="false">
      <c r="B21" s="4" t="s">
        <v>97</v>
      </c>
      <c r="C21" s="25" t="s">
        <v>78</v>
      </c>
      <c r="D21" s="26" t="n">
        <f aca="false">D20*Hypothèses!$C$27</f>
        <v>2.62</v>
      </c>
      <c r="E21" s="26" t="n">
        <f aca="false">E20*Hypothèses!$C$27</f>
        <v>2.7191865</v>
      </c>
      <c r="F21" s="26" t="n">
        <f aca="false">F20*Hypothèses!$C$27</f>
        <v>2.8568515275</v>
      </c>
      <c r="G21" s="26" t="n">
        <f aca="false">G20*Hypothèses!$C$27</f>
        <v>3.0343313309625</v>
      </c>
      <c r="H21" s="26" t="n">
        <f aca="false">H20*Hypothèses!$C$27</f>
        <v>3.21802292754619</v>
      </c>
      <c r="I21" s="26" t="n">
        <f aca="false">I20*Hypothèses!$C$27</f>
        <v>3.40814373001031</v>
      </c>
      <c r="J21" s="26" t="n">
        <f aca="false">J20*Hypothèses!$C$27</f>
        <v>3.60491876056066</v>
      </c>
      <c r="K21" s="26" t="n">
        <f aca="false">K20*Hypothèses!$C$27</f>
        <v>3.80858091718029</v>
      </c>
      <c r="L21" s="26" t="n">
        <f aca="false">L20*Hypothèses!$C$27</f>
        <v>4.0193712492816</v>
      </c>
      <c r="M21" s="26" t="n">
        <f aca="false">M20*Hypothèses!$C$27</f>
        <v>4.23753924300645</v>
      </c>
      <c r="N21" s="26" t="n">
        <f aca="false">N20*Hypothèses!$C$27</f>
        <v>4.46334311651168</v>
      </c>
      <c r="O21" s="26" t="n">
        <f aca="false">O20*Hypothèses!$C$27</f>
        <v>4.69705012558959</v>
      </c>
      <c r="P21" s="26" t="n">
        <f aca="false">P20*Hypothèses!$C$27</f>
        <v>4.93893687998522</v>
      </c>
      <c r="Q21" s="26" t="n">
        <f aca="false">Q20*Hypothèses!$C$27</f>
        <v>5.18928967078471</v>
      </c>
      <c r="R21" s="26" t="n">
        <f aca="false">R20*Hypothèses!$C$27</f>
        <v>5.44840480926217</v>
      </c>
      <c r="S21" s="26" t="n">
        <f aca="false">S20*Hypothèses!$C$27</f>
        <v>5.71658897758635</v>
      </c>
      <c r="T21" s="26" t="n">
        <f aca="false">T20*Hypothèses!$C$27</f>
        <v>5.99415959180187</v>
      </c>
      <c r="U21" s="26" t="n">
        <f aca="false">U20*Hypothèses!$C$27</f>
        <v>6.28144517751493</v>
      </c>
      <c r="V21" s="26" t="n">
        <f aca="false">V20*Hypothèses!$C$27</f>
        <v>6.57878575872796</v>
      </c>
      <c r="W21" s="26" t="n">
        <f aca="false">W20*Hypothèses!$C$27</f>
        <v>6.88653326028343</v>
      </c>
      <c r="X21" s="26" t="n">
        <f aca="false">X20*Hypothèses!$C$27</f>
        <v>7.20505192439335</v>
      </c>
      <c r="Y21" s="26" t="n">
        <f aca="false">Y20*Hypothèses!$C$27</f>
        <v>7.53471874174712</v>
      </c>
      <c r="Z21" s="26" t="n">
        <f aca="false">Z20*Hypothèses!$C$27</f>
        <v>7.87592389770827</v>
      </c>
      <c r="AA21" s="26" t="n">
        <f aca="false">AA20*Hypothèses!$C$27</f>
        <v>8.22907123412806</v>
      </c>
      <c r="AB21" s="26" t="n">
        <f aca="false">AB20*Hypothèses!$C$27</f>
        <v>8.59457872732254</v>
      </c>
      <c r="AC21" s="26" t="n">
        <f aca="false">AC20*Hypothèses!$C$27</f>
        <v>8.97287898277883</v>
      </c>
      <c r="AD21" s="26" t="n">
        <f aca="false">AD20*Hypothèses!$C$27</f>
        <v>9.36441974717608</v>
      </c>
      <c r="AE21" s="26" t="n">
        <f aca="false">AE20*Hypothèses!$C$27</f>
        <v>9.76966443832725</v>
      </c>
      <c r="AF21" s="26" t="n">
        <f aca="false">AF20*Hypothèses!$C$27</f>
        <v>10.1890926936687</v>
      </c>
      <c r="AG21" s="26" t="n">
        <f aca="false">AG20*Hypothèses!$C$27</f>
        <v>10.6232009379471</v>
      </c>
      <c r="AH21" s="26" t="n">
        <f aca="false">AH20*Hypothèses!$C$27</f>
        <v>11.0725029707753</v>
      </c>
    </row>
    <row r="22" customFormat="false" ht="13.5" hidden="false" customHeight="true" outlineLevel="0" collapsed="false">
      <c r="B22" s="4" t="s">
        <v>98</v>
      </c>
      <c r="C22" s="25" t="s">
        <v>78</v>
      </c>
      <c r="D22" s="35" t="n">
        <f aca="false">Hypothèses!$C$22*(1-Hypothèses!$C$23)</f>
        <v>18.34</v>
      </c>
      <c r="E22" s="35" t="n">
        <f aca="false">MAX(0,D22+D22*Hypothèses!$C$26*Hypothèses!$C$28+MAX(0,-E12*0.1)+E16*0.15-MIN(MAX(0,E14-E14*Hypothèses!$C$33),D22*Hypothèses!$C$27))</f>
        <v>18.7717425</v>
      </c>
      <c r="F22" s="35" t="n">
        <f aca="false">MAX(0,E22+E22*Hypothèses!$C$26*Hypothèses!$C$28+MAX(0,-F12*0.1)+F16*0.15-MIN(MAX(0,F14-F14*Hypothèses!$C$33),E22*Hypothèses!$C$27))</f>
        <v>19.384564395</v>
      </c>
      <c r="G22" s="35" t="n">
        <f aca="false">MAX(0,F22+F22*Hypothèses!$C$26*Hypothèses!$C$28+MAX(0,-G12*0.1)+G16*0.15-MIN(MAX(0,G14-G14*Hypothèses!$C$33),F22*Hypothèses!$C$27))</f>
        <v>20.18094829653</v>
      </c>
      <c r="H22" s="35" t="n">
        <f aca="false">MAX(0,G22+G22*Hypothèses!$C$26*Hypothèses!$C$28+MAX(0,-H12*0.1)+H16*0.15-MIN(MAX(0,H14-H14*Hypothèses!$C$33),G22*Hypothèses!$C$27))</f>
        <v>20.9884815726814</v>
      </c>
      <c r="I22" s="35" t="n">
        <f aca="false">MAX(0,H22+H22*Hypothèses!$C$26*Hypothèses!$C$28+MAX(0,-I12*0.1)+I16*0.15-MIN(MAX(0,I14-I14*Hypothèses!$C$33),H22*Hypothèses!$C$27))</f>
        <v>21.807320314699</v>
      </c>
      <c r="J22" s="35" t="n">
        <f aca="false">MAX(0,I22+I22*Hypothèses!$C$26*Hypothèses!$C$28+MAX(0,-J12*0.1)+J16*0.15-MIN(MAX(0,J14-J14*Hypothèses!$C$33),I22*Hypothèses!$C$27))</f>
        <v>22.6376227991047</v>
      </c>
      <c r="K22" s="35" t="n">
        <f aca="false">MAX(0,J22+J22*Hypothèses!$C$26*Hypothèses!$C$28+MAX(0,-K12*0.1)+K16*0.15-MIN(MAX(0,K14-K14*Hypothèses!$C$33),J22*Hypothèses!$C$27))</f>
        <v>23.4795495182922</v>
      </c>
      <c r="L22" s="35" t="n">
        <f aca="false">MAX(0,K22+K22*Hypothèses!$C$26*Hypothèses!$C$28+MAX(0,-L12*0.1)+L16*0.15-MIN(MAX(0,L14-L14*Hypothèses!$C$33),K22*Hypothèses!$C$27))</f>
        <v>24.3332632115483</v>
      </c>
      <c r="M22" s="35" t="n">
        <f aca="false">MAX(0,L22+L22*Hypothèses!$C$26*Hypothèses!$C$28+MAX(0,-M12*0.1)+M16*0.15-MIN(MAX(0,M14-M14*Hypothèses!$C$33),L22*Hypothèses!$C$27))</f>
        <v>25.19892889651</v>
      </c>
      <c r="N22" s="35" t="n">
        <f aca="false">MAX(0,M22+M22*Hypothèses!$C$26*Hypothèses!$C$28+MAX(0,-N12*0.1)+N16*0.15-MIN(MAX(0,N14-N14*Hypothèses!$C$33),M22*Hypothèses!$C$27))</f>
        <v>26.0767139010611</v>
      </c>
      <c r="O22" s="35" t="n">
        <f aca="false">MAX(0,N22+N22*Hypothèses!$C$26*Hypothèses!$C$28+MAX(0,-O12*0.1)+O16*0.15-MIN(MAX(0,O14-O14*Hypothèses!$C$33),N22*Hypothèses!$C$27))</f>
        <v>26.966787895676</v>
      </c>
      <c r="P22" s="35" t="n">
        <f aca="false">MAX(0,O22+O22*Hypothèses!$C$26*Hypothèses!$C$28+MAX(0,-P12*0.1)+P16*0.15-MIN(MAX(0,P14-P14*Hypothèses!$C$33),O22*Hypothèses!$C$27))</f>
        <v>27.8693229262154</v>
      </c>
      <c r="Q22" s="35" t="n">
        <f aca="false">MAX(0,P22+P22*Hypothèses!$C$26*Hypothèses!$C$28+MAX(0,-Q12*0.1)+Q16*0.15-MIN(MAX(0,Q14-Q14*Hypothèses!$C$33),P22*Hypothèses!$C$27))</f>
        <v>28.7844934471824</v>
      </c>
      <c r="R22" s="35" t="n">
        <f aca="false">MAX(0,Q22+Q22*Hypothèses!$C$26*Hypothèses!$C$28+MAX(0,-R12*0.1)+R16*0.15-MIN(MAX(0,R14-R14*Hypothèses!$C$33),Q22*Hypothèses!$C$27))</f>
        <v>29.712476355443</v>
      </c>
      <c r="S22" s="35" t="n">
        <f aca="false">MAX(0,R22+R22*Hypothèses!$C$26*Hypothèses!$C$28+MAX(0,-S12*0.1)+S16*0.15-MIN(MAX(0,S14-S14*Hypothèses!$C$33),R22*Hypothèses!$C$27))</f>
        <v>30.6534510244192</v>
      </c>
      <c r="T22" s="35" t="n">
        <f aca="false">MAX(0,S22+S22*Hypothèses!$C$26*Hypothèses!$C$28+MAX(0,-T12*0.1)+T16*0.15-MIN(MAX(0,T14-T14*Hypothèses!$C$33),S22*Hypothèses!$C$27))</f>
        <v>31.6075993387611</v>
      </c>
      <c r="U22" s="35" t="n">
        <f aca="false">MAX(0,T22+T22*Hypothèses!$C$26*Hypothèses!$C$28+MAX(0,-U12*0.1)+U16*0.15-MIN(MAX(0,U14-U14*Hypothèses!$C$33),T22*Hypothèses!$C$27))</f>
        <v>32.5751057295037</v>
      </c>
      <c r="V22" s="35" t="n">
        <f aca="false">MAX(0,U22+U22*Hypothèses!$C$26*Hypothèses!$C$28+MAX(0,-V12*0.1)+V16*0.15-MIN(MAX(0,V14-V14*Hypothèses!$C$33),U22*Hypothèses!$C$27))</f>
        <v>33.5561572097168</v>
      </c>
      <c r="W22" s="35" t="n">
        <f aca="false">MAX(0,V22+V22*Hypothèses!$C$26*Hypothèses!$C$28+MAX(0,-W12*0.1)+W16*0.15-MIN(MAX(0,W14-W14*Hypothèses!$C$33),V22*Hypothèses!$C$27))</f>
        <v>34.5509434106528</v>
      </c>
      <c r="X22" s="35" t="n">
        <f aca="false">MAX(0,W22+W22*Hypothèses!$C$26*Hypothèses!$C$28+MAX(0,-X12*0.1)+X16*0.15-MIN(MAX(0,X14-X14*Hypothèses!$C$33),W22*Hypothèses!$C$27))</f>
        <v>35.5596566184019</v>
      </c>
      <c r="Y22" s="35" t="n">
        <f aca="false">MAX(0,X22+X22*Hypothèses!$C$26*Hypothèses!$C$28+MAX(0,-Y12*0.1)+Y16*0.15-MIN(MAX(0,Y14-Y14*Hypothèses!$C$33),X22*Hypothèses!$C$27))</f>
        <v>36.5824918110596</v>
      </c>
      <c r="Z22" s="35" t="n">
        <f aca="false">MAX(0,Y22+Y22*Hypothèses!$C$26*Hypothèses!$C$28+MAX(0,-Z12*0.1)+Z16*0.15-MIN(MAX(0,Z14-Z14*Hypothèses!$C$33),Y22*Hypothèses!$C$27))</f>
        <v>37.6196466964144</v>
      </c>
      <c r="AA22" s="35" t="n">
        <f aca="false">MAX(0,Z22+Z22*Hypothèses!$C$26*Hypothèses!$C$28+MAX(0,-AA12*0.1)+AA16*0.15-MIN(MAX(0,AA14-AA14*Hypothèses!$C$33),Z22*Hypothèses!$C$27))</f>
        <v>38.6713217501642</v>
      </c>
      <c r="AB22" s="35" t="n">
        <f aca="false">MAX(0,AA22+AA22*Hypothèses!$C$26*Hypothèses!$C$28+MAX(0,-AB12*0.1)+AB16*0.15-MIN(MAX(0,AB14-AB14*Hypothèses!$C$33),AA22*Hypothèses!$C$27))</f>
        <v>39.7377202546665</v>
      </c>
      <c r="AC22" s="35" t="n">
        <f aca="false">MAX(0,AB22+AB22*Hypothèses!$C$26*Hypothèses!$C$28+MAX(0,-AC12*0.1)+AC16*0.15-MIN(MAX(0,AC14-AC14*Hypothèses!$C$33),AB22*Hypothèses!$C$27))</f>
        <v>40.8190483382318</v>
      </c>
      <c r="AD22" s="35" t="n">
        <f aca="false">MAX(0,AC22+AC22*Hypothèses!$C$26*Hypothèses!$C$28+MAX(0,-AD12*0.1)+AD16*0.15-MIN(MAX(0,AD14-AD14*Hypothèses!$C$33),AC22*Hypothèses!$C$27))</f>
        <v>41.9155150149671</v>
      </c>
      <c r="AE22" s="35" t="n">
        <f aca="false">MAX(0,AD22+AD22*Hypothèses!$C$26*Hypothèses!$C$28+MAX(0,-AE12*0.1)+AE16*0.15-MIN(MAX(0,AE14-AE14*Hypothèses!$C$33),AD22*Hypothèses!$C$27))</f>
        <v>43.0273322251766</v>
      </c>
      <c r="AF22" s="35" t="n">
        <f aca="false">MAX(0,AE22+AE22*Hypothèses!$C$26*Hypothèses!$C$28+MAX(0,-AF12*0.1)+AF16*0.15-MIN(MAX(0,AF14-AF14*Hypothèses!$C$33),AE22*Hypothèses!$C$27))</f>
        <v>44.1547148763291</v>
      </c>
      <c r="AG22" s="35" t="n">
        <f aca="false">MAX(0,AF22+AF22*Hypothèses!$C$26*Hypothèses!$C$28+MAX(0,-AG12*0.1)+AG16*0.15-MIN(MAX(0,AG14-AG14*Hypothèses!$C$33),AF22*Hypothèses!$C$27))</f>
        <v>45.2978808845977</v>
      </c>
      <c r="AH22" s="35" t="n">
        <f aca="false">MAX(0,AG22+AG22*Hypothèses!$C$26*Hypothèses!$C$28+MAX(0,-AH12*0.1)+AH16*0.15-MIN(MAX(0,AH14-AH14*Hypothèses!$C$33),AG22*Hypothèses!$C$27))</f>
        <v>46.457051216982</v>
      </c>
    </row>
    <row r="23" customFormat="false" ht="15.75" hidden="false" customHeight="true" outlineLevel="0" collapsed="false">
      <c r="B23" s="36" t="s">
        <v>99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customFormat="false" ht="13.5" hidden="false" customHeight="true" outlineLevel="0" collapsed="false">
      <c r="B24" s="4" t="s">
        <v>100</v>
      </c>
      <c r="C24" s="25" t="s">
        <v>78</v>
      </c>
      <c r="D24" s="34" t="n">
        <f aca="false">D14*Hypothèses!$C$33</f>
        <v>-8.92567916322852</v>
      </c>
      <c r="E24" s="34" t="n">
        <f aca="false">E14*Hypothèses!$C$33</f>
        <v>-12.1697508191772</v>
      </c>
      <c r="F24" s="34" t="n">
        <f aca="false">F14*Hypothèses!$C$33</f>
        <v>-12.2391609995394</v>
      </c>
      <c r="G24" s="34" t="n">
        <f aca="false">G14*Hypothèses!$C$33</f>
        <v>-12.3103793805648</v>
      </c>
      <c r="H24" s="34" t="n">
        <f aca="false">H14*Hypothèses!$C$33</f>
        <v>-12.3835183971107</v>
      </c>
      <c r="I24" s="34" t="n">
        <f aca="false">I14*Hypothèses!$C$33</f>
        <v>-12.4586958042783</v>
      </c>
      <c r="J24" s="34" t="n">
        <f aca="false">J14*Hypothèses!$C$33</f>
        <v>-12.5360348943788</v>
      </c>
      <c r="K24" s="34" t="n">
        <f aca="false">K14*Hypothèses!$C$33</f>
        <v>-12.6156647225148</v>
      </c>
      <c r="L24" s="34" t="n">
        <f aca="false">L14*Hypothèses!$C$33</f>
        <v>-12.6977203411433</v>
      </c>
      <c r="M24" s="34" t="n">
        <f aca="false">M14*Hypothèses!$C$33</f>
        <v>-12.7823430439996</v>
      </c>
      <c r="N24" s="34" t="n">
        <f aca="false">N14*Hypothèses!$C$33</f>
        <v>-12.8696806197835</v>
      </c>
      <c r="O24" s="34" t="n">
        <f aca="false">O14*Hypothèses!$C$33</f>
        <v>-12.9598876160244</v>
      </c>
      <c r="P24" s="34" t="n">
        <f aca="false">P14*Hypothèses!$C$33</f>
        <v>-13.0249144769707</v>
      </c>
      <c r="Q24" s="34" t="n">
        <f aca="false">Q14*Hypothèses!$C$33</f>
        <v>-13.0630871841356</v>
      </c>
      <c r="R24" s="34" t="n">
        <f aca="false">R14*Hypothèses!$C$33</f>
        <v>-13.0726566383472</v>
      </c>
      <c r="S24" s="34" t="n">
        <f aca="false">S14*Hypothèses!$C$33</f>
        <v>-13.0517957364014</v>
      </c>
      <c r="T24" s="34" t="n">
        <f aca="false">T14*Hypothèses!$C$33</f>
        <v>-12.9985963387029</v>
      </c>
      <c r="U24" s="34" t="n">
        <f aca="false">U14*Hypothèses!$C$33</f>
        <v>-12.9422134980842</v>
      </c>
      <c r="V24" s="34" t="n">
        <f aca="false">V14*Hypothèses!$C$33</f>
        <v>-12.8826021786771</v>
      </c>
      <c r="W24" s="34" t="n">
        <f aca="false">W14*Hypothèses!$C$33</f>
        <v>-12.8197178184069</v>
      </c>
      <c r="X24" s="34" t="n">
        <f aca="false">X14*Hypothèses!$C$33</f>
        <v>-12.7535163861807</v>
      </c>
      <c r="Y24" s="34" t="n">
        <f aca="false">Y14*Hypothèses!$C$33</f>
        <v>-12.6839544417106</v>
      </c>
      <c r="Z24" s="34" t="n">
        <f aca="false">Z14*Hypothèses!$C$33</f>
        <v>-12.571613096639</v>
      </c>
      <c r="AA24" s="34" t="n">
        <f aca="false">AA14*Hypothèses!$C$33</f>
        <v>-12.4140243458072</v>
      </c>
      <c r="AB24" s="34" t="n">
        <f aca="false">AB14*Hypothèses!$C$33</f>
        <v>-12.2086204074926</v>
      </c>
      <c r="AC24" s="34" t="n">
        <f aca="false">AC14*Hypothèses!$C$33</f>
        <v>-11.9527302774124</v>
      </c>
      <c r="AD24" s="34" t="n">
        <f aca="false">AD14*Hypothèses!$C$33</f>
        <v>-11.6435761732393</v>
      </c>
      <c r="AE24" s="34" t="n">
        <f aca="false">AE14*Hypothèses!$C$33</f>
        <v>-11.5995195404243</v>
      </c>
      <c r="AF24" s="34" t="n">
        <f aca="false">AF14*Hypothèses!$C$33</f>
        <v>-11.550544818172</v>
      </c>
      <c r="AG24" s="34" t="n">
        <f aca="false">AG14*Hypothèses!$C$33</f>
        <v>-11.4964954247028</v>
      </c>
      <c r="AH24" s="34" t="n">
        <f aca="false">AH14*Hypothèses!$C$33</f>
        <v>-11.4372108214237</v>
      </c>
    </row>
    <row r="25" customFormat="false" ht="13.5" hidden="false" customHeight="true" outlineLevel="0" collapsed="false">
      <c r="B25" s="4" t="s">
        <v>101</v>
      </c>
      <c r="C25" s="25" t="s">
        <v>78</v>
      </c>
      <c r="D25" s="26" t="n">
        <f aca="false">MAX(0,D14-D24)</f>
        <v>0</v>
      </c>
      <c r="E25" s="26" t="n">
        <f aca="false">MAX(0,E14-E24)</f>
        <v>0</v>
      </c>
      <c r="F25" s="26" t="n">
        <f aca="false">MAX(0,F14-F24)</f>
        <v>0</v>
      </c>
      <c r="G25" s="26" t="n">
        <f aca="false">MAX(0,G14-G24)</f>
        <v>0</v>
      </c>
      <c r="H25" s="26" t="n">
        <f aca="false">MAX(0,H14-H24)</f>
        <v>0</v>
      </c>
      <c r="I25" s="26" t="n">
        <f aca="false">MAX(0,I14-I24)</f>
        <v>0</v>
      </c>
      <c r="J25" s="26" t="n">
        <f aca="false">MAX(0,J14-J24)</f>
        <v>0</v>
      </c>
      <c r="K25" s="26" t="n">
        <f aca="false">MAX(0,K14-K24)</f>
        <v>0</v>
      </c>
      <c r="L25" s="26" t="n">
        <f aca="false">MAX(0,L14-L24)</f>
        <v>0</v>
      </c>
      <c r="M25" s="26" t="n">
        <f aca="false">MAX(0,M14-M24)</f>
        <v>0</v>
      </c>
      <c r="N25" s="26" t="n">
        <f aca="false">MAX(0,N14-N24)</f>
        <v>0</v>
      </c>
      <c r="O25" s="26" t="n">
        <f aca="false">MAX(0,O14-O24)</f>
        <v>0</v>
      </c>
      <c r="P25" s="26" t="n">
        <f aca="false">MAX(0,P14-P24)</f>
        <v>0</v>
      </c>
      <c r="Q25" s="26" t="n">
        <f aca="false">MAX(0,Q14-Q24)</f>
        <v>0</v>
      </c>
      <c r="R25" s="26" t="n">
        <f aca="false">MAX(0,R14-R24)</f>
        <v>0</v>
      </c>
      <c r="S25" s="26" t="n">
        <f aca="false">MAX(0,S14-S24)</f>
        <v>0</v>
      </c>
      <c r="T25" s="26" t="n">
        <f aca="false">MAX(0,T14-T24)</f>
        <v>0</v>
      </c>
      <c r="U25" s="26" t="n">
        <f aca="false">MAX(0,U14-U24)</f>
        <v>0</v>
      </c>
      <c r="V25" s="26" t="n">
        <f aca="false">MAX(0,V14-V24)</f>
        <v>0</v>
      </c>
      <c r="W25" s="26" t="n">
        <f aca="false">MAX(0,W14-W24)</f>
        <v>0</v>
      </c>
      <c r="X25" s="26" t="n">
        <f aca="false">MAX(0,X14-X24)</f>
        <v>0</v>
      </c>
      <c r="Y25" s="26" t="n">
        <f aca="false">MAX(0,Y14-Y24)</f>
        <v>0</v>
      </c>
      <c r="Z25" s="26" t="n">
        <f aca="false">MAX(0,Z14-Z24)</f>
        <v>0</v>
      </c>
      <c r="AA25" s="26" t="n">
        <f aca="false">MAX(0,AA14-AA24)</f>
        <v>0</v>
      </c>
      <c r="AB25" s="26" t="n">
        <f aca="false">MAX(0,AB14-AB24)</f>
        <v>0</v>
      </c>
      <c r="AC25" s="26" t="n">
        <f aca="false">MAX(0,AC14-AC24)</f>
        <v>0</v>
      </c>
      <c r="AD25" s="26" t="n">
        <f aca="false">MAX(0,AD14-AD24)</f>
        <v>0</v>
      </c>
      <c r="AE25" s="26" t="n">
        <f aca="false">MAX(0,AE14-AE24)</f>
        <v>0</v>
      </c>
      <c r="AF25" s="26" t="n">
        <f aca="false">MAX(0,AF14-AF24)</f>
        <v>0</v>
      </c>
      <c r="AG25" s="26" t="n">
        <f aca="false">MAX(0,AG14-AG24)</f>
        <v>0</v>
      </c>
      <c r="AH25" s="26" t="n">
        <f aca="false">MAX(0,AH14-AH24)</f>
        <v>0</v>
      </c>
    </row>
    <row r="26" customFormat="false" ht="13.5" hidden="false" customHeight="true" outlineLevel="0" collapsed="false">
      <c r="B26" s="4" t="s">
        <v>102</v>
      </c>
      <c r="C26" s="25" t="s">
        <v>78</v>
      </c>
      <c r="D26" s="34" t="n">
        <f aca="false">MIN(D25,D21)</f>
        <v>0</v>
      </c>
      <c r="E26" s="34" t="n">
        <f aca="false">MIN(E25,E21)</f>
        <v>0</v>
      </c>
      <c r="F26" s="34" t="n">
        <f aca="false">MIN(F25,F21)</f>
        <v>0</v>
      </c>
      <c r="G26" s="34" t="n">
        <f aca="false">MIN(G25,G21)</f>
        <v>0</v>
      </c>
      <c r="H26" s="34" t="n">
        <f aca="false">MIN(H25,H21)</f>
        <v>0</v>
      </c>
      <c r="I26" s="34" t="n">
        <f aca="false">MIN(I25,I21)</f>
        <v>0</v>
      </c>
      <c r="J26" s="34" t="n">
        <f aca="false">MIN(J25,J21)</f>
        <v>0</v>
      </c>
      <c r="K26" s="34" t="n">
        <f aca="false">MIN(K25,K21)</f>
        <v>0</v>
      </c>
      <c r="L26" s="34" t="n">
        <f aca="false">MIN(L25,L21)</f>
        <v>0</v>
      </c>
      <c r="M26" s="34" t="n">
        <f aca="false">MIN(M25,M21)</f>
        <v>0</v>
      </c>
      <c r="N26" s="34" t="n">
        <f aca="false">MIN(N25,N21)</f>
        <v>0</v>
      </c>
      <c r="O26" s="34" t="n">
        <f aca="false">MIN(O25,O21)</f>
        <v>0</v>
      </c>
      <c r="P26" s="34" t="n">
        <f aca="false">MIN(P25,P21)</f>
        <v>0</v>
      </c>
      <c r="Q26" s="34" t="n">
        <f aca="false">MIN(Q25,Q21)</f>
        <v>0</v>
      </c>
      <c r="R26" s="34" t="n">
        <f aca="false">MIN(R25,R21)</f>
        <v>0</v>
      </c>
      <c r="S26" s="34" t="n">
        <f aca="false">MIN(S25,S21)</f>
        <v>0</v>
      </c>
      <c r="T26" s="34" t="n">
        <f aca="false">MIN(T25,T21)</f>
        <v>0</v>
      </c>
      <c r="U26" s="34" t="n">
        <f aca="false">MIN(U25,U21)</f>
        <v>0</v>
      </c>
      <c r="V26" s="34" t="n">
        <f aca="false">MIN(V25,V21)</f>
        <v>0</v>
      </c>
      <c r="W26" s="34" t="n">
        <f aca="false">MIN(W25,W21)</f>
        <v>0</v>
      </c>
      <c r="X26" s="34" t="n">
        <f aca="false">MIN(X25,X21)</f>
        <v>0</v>
      </c>
      <c r="Y26" s="34" t="n">
        <f aca="false">MIN(Y25,Y21)</f>
        <v>0</v>
      </c>
      <c r="Z26" s="34" t="n">
        <f aca="false">MIN(Z25,Z21)</f>
        <v>0</v>
      </c>
      <c r="AA26" s="34" t="n">
        <f aca="false">MIN(AA25,AA21)</f>
        <v>0</v>
      </c>
      <c r="AB26" s="34" t="n">
        <f aca="false">MIN(AB25,AB21)</f>
        <v>0</v>
      </c>
      <c r="AC26" s="34" t="n">
        <f aca="false">MIN(AC25,AC21)</f>
        <v>0</v>
      </c>
      <c r="AD26" s="34" t="n">
        <f aca="false">MIN(AD25,AD21)</f>
        <v>0</v>
      </c>
      <c r="AE26" s="34" t="n">
        <f aca="false">MIN(AE25,AE21)</f>
        <v>0</v>
      </c>
      <c r="AF26" s="34" t="n">
        <f aca="false">MIN(AF25,AF21)</f>
        <v>0</v>
      </c>
      <c r="AG26" s="34" t="n">
        <f aca="false">MIN(AG25,AG21)</f>
        <v>0</v>
      </c>
      <c r="AH26" s="34" t="n">
        <f aca="false">MIN(AH25,AH21)</f>
        <v>0</v>
      </c>
    </row>
    <row r="27" customFormat="false" ht="13.5" hidden="false" customHeight="true" outlineLevel="0" collapsed="false">
      <c r="B27" s="4" t="s">
        <v>103</v>
      </c>
      <c r="C27" s="25" t="s">
        <v>78</v>
      </c>
      <c r="D27" s="26" t="n">
        <f aca="false">MAX(0,D25-D26)</f>
        <v>0</v>
      </c>
      <c r="E27" s="26" t="n">
        <f aca="false">MAX(0,E25-E26)</f>
        <v>0</v>
      </c>
      <c r="F27" s="26" t="n">
        <f aca="false">MAX(0,F25-F26)</f>
        <v>0</v>
      </c>
      <c r="G27" s="26" t="n">
        <f aca="false">MAX(0,G25-G26)</f>
        <v>0</v>
      </c>
      <c r="H27" s="26" t="n">
        <f aca="false">MAX(0,H25-H26)</f>
        <v>0</v>
      </c>
      <c r="I27" s="26" t="n">
        <f aca="false">MAX(0,I25-I26)</f>
        <v>0</v>
      </c>
      <c r="J27" s="26" t="n">
        <f aca="false">MAX(0,J25-J26)</f>
        <v>0</v>
      </c>
      <c r="K27" s="26" t="n">
        <f aca="false">MAX(0,K25-K26)</f>
        <v>0</v>
      </c>
      <c r="L27" s="26" t="n">
        <f aca="false">MAX(0,L25-L26)</f>
        <v>0</v>
      </c>
      <c r="M27" s="26" t="n">
        <f aca="false">MAX(0,M25-M26)</f>
        <v>0</v>
      </c>
      <c r="N27" s="26" t="n">
        <f aca="false">MAX(0,N25-N26)</f>
        <v>0</v>
      </c>
      <c r="O27" s="26" t="n">
        <f aca="false">MAX(0,O25-O26)</f>
        <v>0</v>
      </c>
      <c r="P27" s="26" t="n">
        <f aca="false">MAX(0,P25-P26)</f>
        <v>0</v>
      </c>
      <c r="Q27" s="26" t="n">
        <f aca="false">MAX(0,Q25-Q26)</f>
        <v>0</v>
      </c>
      <c r="R27" s="26" t="n">
        <f aca="false">MAX(0,R25-R26)</f>
        <v>0</v>
      </c>
      <c r="S27" s="26" t="n">
        <f aca="false">MAX(0,S25-S26)</f>
        <v>0</v>
      </c>
      <c r="T27" s="26" t="n">
        <f aca="false">MAX(0,T25-T26)</f>
        <v>0</v>
      </c>
      <c r="U27" s="26" t="n">
        <f aca="false">MAX(0,U25-U26)</f>
        <v>0</v>
      </c>
      <c r="V27" s="26" t="n">
        <f aca="false">MAX(0,V25-V26)</f>
        <v>0</v>
      </c>
      <c r="W27" s="26" t="n">
        <f aca="false">MAX(0,W25-W26)</f>
        <v>0</v>
      </c>
      <c r="X27" s="26" t="n">
        <f aca="false">MAX(0,X25-X26)</f>
        <v>0</v>
      </c>
      <c r="Y27" s="26" t="n">
        <f aca="false">MAX(0,Y25-Y26)</f>
        <v>0</v>
      </c>
      <c r="Z27" s="26" t="n">
        <f aca="false">MAX(0,Z25-Z26)</f>
        <v>0</v>
      </c>
      <c r="AA27" s="26" t="n">
        <f aca="false">MAX(0,AA25-AA26)</f>
        <v>0</v>
      </c>
      <c r="AB27" s="26" t="n">
        <f aca="false">MAX(0,AB25-AB26)</f>
        <v>0</v>
      </c>
      <c r="AC27" s="26" t="n">
        <f aca="false">MAX(0,AC25-AC26)</f>
        <v>0</v>
      </c>
      <c r="AD27" s="26" t="n">
        <f aca="false">MAX(0,AD25-AD26)</f>
        <v>0</v>
      </c>
      <c r="AE27" s="26" t="n">
        <f aca="false">MAX(0,AE25-AE26)</f>
        <v>0</v>
      </c>
      <c r="AF27" s="26" t="n">
        <f aca="false">MAX(0,AF25-AF26)</f>
        <v>0</v>
      </c>
      <c r="AG27" s="26" t="n">
        <f aca="false">MAX(0,AG25-AG26)</f>
        <v>0</v>
      </c>
      <c r="AH27" s="26" t="n">
        <f aca="false">MAX(0,AH25-AH26)</f>
        <v>0</v>
      </c>
    </row>
    <row r="28" customFormat="false" ht="13.5" hidden="false" customHeight="true" outlineLevel="0" collapsed="false">
      <c r="B28" s="4" t="s">
        <v>104</v>
      </c>
      <c r="C28" s="25" t="s">
        <v>78</v>
      </c>
      <c r="D28" s="26" t="n">
        <f aca="false">D5+D16</f>
        <v>1571.8</v>
      </c>
      <c r="E28" s="26" t="n">
        <f aca="false">E5+E16</f>
        <v>1594.201568</v>
      </c>
      <c r="F28" s="26" t="n">
        <f aca="false">F5+F16</f>
        <v>1616.89037109318</v>
      </c>
      <c r="G28" s="26" t="n">
        <f aca="false">G5+G16</f>
        <v>1639.86958509715</v>
      </c>
      <c r="H28" s="26" t="n">
        <f aca="false">H5+H16</f>
        <v>1661.97693819181</v>
      </c>
      <c r="I28" s="26" t="n">
        <f aca="false">I5+I16</f>
        <v>1684.38296162678</v>
      </c>
      <c r="J28" s="26" t="n">
        <f aca="false">J5+J16</f>
        <v>1707.09169043836</v>
      </c>
      <c r="K28" s="26" t="n">
        <f aca="false">K5+K16</f>
        <v>1730.10721417618</v>
      </c>
      <c r="L28" s="26" t="n">
        <f aca="false">L5+L16</f>
        <v>1753.4336776397</v>
      </c>
      <c r="M28" s="26" t="n">
        <f aca="false">M5+M16</f>
        <v>1777.07528162461</v>
      </c>
      <c r="N28" s="26" t="n">
        <f aca="false">N5+N16</f>
        <v>1801.03628367936</v>
      </c>
      <c r="O28" s="26" t="n">
        <f aca="false">O5+O16</f>
        <v>1825.32099887187</v>
      </c>
      <c r="P28" s="26" t="n">
        <f aca="false">P5+P16</f>
        <v>1849.93380056663</v>
      </c>
      <c r="Q28" s="26" t="n">
        <f aca="false">Q5+Q16</f>
        <v>1874.87912121228</v>
      </c>
      <c r="R28" s="26" t="n">
        <f aca="false">R5+R16</f>
        <v>1900.16145313986</v>
      </c>
      <c r="S28" s="26" t="n">
        <f aca="false">S5+S16</f>
        <v>1925.78534937178</v>
      </c>
      <c r="T28" s="26" t="n">
        <f aca="false">T5+T16</f>
        <v>1951.75542444179</v>
      </c>
      <c r="U28" s="26" t="n">
        <f aca="false">U5+U16</f>
        <v>1978.076355226</v>
      </c>
      <c r="V28" s="26" t="n">
        <f aca="false">V5+V16</f>
        <v>2004.75288178511</v>
      </c>
      <c r="W28" s="26" t="n">
        <f aca="false">W5+W16</f>
        <v>2031.78980821802</v>
      </c>
      <c r="X28" s="26" t="n">
        <f aca="false">X5+X16</f>
        <v>2059.19200352705</v>
      </c>
      <c r="Y28" s="26" t="n">
        <f aca="false">Y5+Y16</f>
        <v>2086.9644024947</v>
      </c>
      <c r="Z28" s="26" t="n">
        <f aca="false">Z5+Z16</f>
        <v>2115.1120065724</v>
      </c>
      <c r="AA28" s="26" t="n">
        <f aca="false">AA5+AA16</f>
        <v>2143.63988478119</v>
      </c>
      <c r="AB28" s="26" t="n">
        <f aca="false">AB5+AB16</f>
        <v>2172.55317462459</v>
      </c>
      <c r="AC28" s="26" t="n">
        <f aca="false">AC5+AC16</f>
        <v>2201.85708301377</v>
      </c>
      <c r="AD28" s="26" t="n">
        <f aca="false">AD5+AD16</f>
        <v>2231.55688720528</v>
      </c>
      <c r="AE28" s="26" t="n">
        <f aca="false">AE5+AE16</f>
        <v>2261.65793575142</v>
      </c>
      <c r="AF28" s="26" t="n">
        <f aca="false">AF5+AF16</f>
        <v>2292.16564946343</v>
      </c>
      <c r="AG28" s="26" t="n">
        <f aca="false">AG5+AG16</f>
        <v>2323.08552238768</v>
      </c>
      <c r="AH28" s="26" t="n">
        <f aca="false">AH5+AH16</f>
        <v>2354.42312279513</v>
      </c>
    </row>
    <row r="29" customFormat="false" ht="13.5" hidden="false" customHeight="true" outlineLevel="0" collapsed="false">
      <c r="B29" s="4" t="s">
        <v>105</v>
      </c>
      <c r="C29" s="25" t="s">
        <v>106</v>
      </c>
      <c r="D29" s="37" t="n">
        <f aca="false">IFERROR(IF(D28&gt;0,D27/D28,0),0)</f>
        <v>0</v>
      </c>
      <c r="E29" s="37" t="n">
        <f aca="false">IFERROR(IF(E28&gt;0,E27/E28,0),0)</f>
        <v>0</v>
      </c>
      <c r="F29" s="37" t="n">
        <f aca="false">IFERROR(IF(F28&gt;0,F27/F28,0),0)</f>
        <v>0</v>
      </c>
      <c r="G29" s="37" t="n">
        <f aca="false">IFERROR(IF(G28&gt;0,G27/G28,0),0)</f>
        <v>0</v>
      </c>
      <c r="H29" s="37" t="n">
        <f aca="false">IFERROR(IF(H28&gt;0,H27/H28,0),0)</f>
        <v>0</v>
      </c>
      <c r="I29" s="37" t="n">
        <f aca="false">IFERROR(IF(I28&gt;0,I27/I28,0),0)</f>
        <v>0</v>
      </c>
      <c r="J29" s="37" t="n">
        <f aca="false">IFERROR(IF(J28&gt;0,J27/J28,0),0)</f>
        <v>0</v>
      </c>
      <c r="K29" s="37" t="n">
        <f aca="false">IFERROR(IF(K28&gt;0,K27/K28,0),0)</f>
        <v>0</v>
      </c>
      <c r="L29" s="37" t="n">
        <f aca="false">IFERROR(IF(L28&gt;0,L27/L28,0),0)</f>
        <v>0</v>
      </c>
      <c r="M29" s="37" t="n">
        <f aca="false">IFERROR(IF(M28&gt;0,M27/M28,0),0)</f>
        <v>0</v>
      </c>
      <c r="N29" s="37" t="n">
        <f aca="false">IFERROR(IF(N28&gt;0,N27/N28,0),0)</f>
        <v>0</v>
      </c>
      <c r="O29" s="37" t="n">
        <f aca="false">IFERROR(IF(O28&gt;0,O27/O28,0),0)</f>
        <v>0</v>
      </c>
      <c r="P29" s="37" t="n">
        <f aca="false">IFERROR(IF(P28&gt;0,P27/P28,0),0)</f>
        <v>0</v>
      </c>
      <c r="Q29" s="37" t="n">
        <f aca="false">IFERROR(IF(Q28&gt;0,Q27/Q28,0),0)</f>
        <v>0</v>
      </c>
      <c r="R29" s="37" t="n">
        <f aca="false">IFERROR(IF(R28&gt;0,R27/R28,0),0)</f>
        <v>0</v>
      </c>
      <c r="S29" s="37" t="n">
        <f aca="false">IFERROR(IF(S28&gt;0,S27/S28,0),0)</f>
        <v>0</v>
      </c>
      <c r="T29" s="37" t="n">
        <f aca="false">IFERROR(IF(T28&gt;0,T27/T28,0),0)</f>
        <v>0</v>
      </c>
      <c r="U29" s="37" t="n">
        <f aca="false">IFERROR(IF(U28&gt;0,U27/U28,0),0)</f>
        <v>0</v>
      </c>
      <c r="V29" s="37" t="n">
        <f aca="false">IFERROR(IF(V28&gt;0,V27/V28,0),0)</f>
        <v>0</v>
      </c>
      <c r="W29" s="37" t="n">
        <f aca="false">IFERROR(IF(W28&gt;0,W27/W28,0),0)</f>
        <v>0</v>
      </c>
      <c r="X29" s="37" t="n">
        <f aca="false">IFERROR(IF(X28&gt;0,X27/X28,0),0)</f>
        <v>0</v>
      </c>
      <c r="Y29" s="37" t="n">
        <f aca="false">IFERROR(IF(Y28&gt;0,Y27/Y28,0),0)</f>
        <v>0</v>
      </c>
      <c r="Z29" s="37" t="n">
        <f aca="false">IFERROR(IF(Z28&gt;0,Z27/Z28,0),0)</f>
        <v>0</v>
      </c>
      <c r="AA29" s="37" t="n">
        <f aca="false">IFERROR(IF(AA28&gt;0,AA27/AA28,0),0)</f>
        <v>0</v>
      </c>
      <c r="AB29" s="37" t="n">
        <f aca="false">IFERROR(IF(AB28&gt;0,AB27/AB28,0),0)</f>
        <v>0</v>
      </c>
      <c r="AC29" s="37" t="n">
        <f aca="false">IFERROR(IF(AC28&gt;0,AC27/AC28,0),0)</f>
        <v>0</v>
      </c>
      <c r="AD29" s="37" t="n">
        <f aca="false">IFERROR(IF(AD28&gt;0,AD27/AD28,0),0)</f>
        <v>0</v>
      </c>
      <c r="AE29" s="37" t="n">
        <f aca="false">IFERROR(IF(AE28&gt;0,AE27/AE28,0),0)</f>
        <v>0</v>
      </c>
      <c r="AF29" s="37" t="n">
        <f aca="false">IFERROR(IF(AF28&gt;0,AF27/AF28,0),0)</f>
        <v>0</v>
      </c>
      <c r="AG29" s="37" t="n">
        <f aca="false">IFERROR(IF(AG28&gt;0,AG27/AG28,0),0)</f>
        <v>0</v>
      </c>
      <c r="AH29" s="37" t="n">
        <f aca="false">IFERROR(IF(AH28&gt;0,AH27/AH28,0),0)</f>
        <v>0</v>
      </c>
    </row>
    <row r="30" customFormat="false" ht="13.5" hidden="false" customHeight="true" outlineLevel="0" collapsed="false">
      <c r="B30" s="4" t="s">
        <v>107</v>
      </c>
      <c r="C30" s="25" t="s">
        <v>106</v>
      </c>
      <c r="D30" s="38" t="n">
        <f aca="false">MIN(D29,Hypothèses!$C$30)</f>
        <v>0</v>
      </c>
      <c r="E30" s="38" t="n">
        <f aca="false">MIN(E29,Hypothèses!$C$30)</f>
        <v>0</v>
      </c>
      <c r="F30" s="38" t="n">
        <f aca="false">MIN(F29,Hypothèses!$C$30)</f>
        <v>0</v>
      </c>
      <c r="G30" s="38" t="n">
        <f aca="false">MIN(G29,Hypothèses!$C$30)</f>
        <v>0</v>
      </c>
      <c r="H30" s="38" t="n">
        <f aca="false">MIN(H29,Hypothèses!$C$30)</f>
        <v>0</v>
      </c>
      <c r="I30" s="38" t="n">
        <f aca="false">MIN(I29,Hypothèses!$C$30)</f>
        <v>0</v>
      </c>
      <c r="J30" s="38" t="n">
        <f aca="false">MIN(J29,Hypothèses!$C$30)</f>
        <v>0</v>
      </c>
      <c r="K30" s="38" t="n">
        <f aca="false">MIN(K29,Hypothèses!$C$30)</f>
        <v>0</v>
      </c>
      <c r="L30" s="38" t="n">
        <f aca="false">MIN(L29,Hypothèses!$C$30)</f>
        <v>0</v>
      </c>
      <c r="M30" s="38" t="n">
        <f aca="false">MIN(M29,Hypothèses!$C$30)</f>
        <v>0</v>
      </c>
      <c r="N30" s="38" t="n">
        <f aca="false">MIN(N29,Hypothèses!$C$30)</f>
        <v>0</v>
      </c>
      <c r="O30" s="38" t="n">
        <f aca="false">MIN(O29,Hypothèses!$C$30)</f>
        <v>0</v>
      </c>
      <c r="P30" s="38" t="n">
        <f aca="false">MIN(P29,Hypothèses!$C$30)</f>
        <v>0</v>
      </c>
      <c r="Q30" s="38" t="n">
        <f aca="false">MIN(Q29,Hypothèses!$C$30)</f>
        <v>0</v>
      </c>
      <c r="R30" s="38" t="n">
        <f aca="false">MIN(R29,Hypothèses!$C$30)</f>
        <v>0</v>
      </c>
      <c r="S30" s="38" t="n">
        <f aca="false">MIN(S29,Hypothèses!$C$30)</f>
        <v>0</v>
      </c>
      <c r="T30" s="38" t="n">
        <f aca="false">MIN(T29,Hypothèses!$C$30)</f>
        <v>0</v>
      </c>
      <c r="U30" s="38" t="n">
        <f aca="false">MIN(U29,Hypothèses!$C$30)</f>
        <v>0</v>
      </c>
      <c r="V30" s="38" t="n">
        <f aca="false">MIN(V29,Hypothèses!$C$30)</f>
        <v>0</v>
      </c>
      <c r="W30" s="38" t="n">
        <f aca="false">MIN(W29,Hypothèses!$C$30)</f>
        <v>0</v>
      </c>
      <c r="X30" s="38" t="n">
        <f aca="false">MIN(X29,Hypothèses!$C$30)</f>
        <v>0</v>
      </c>
      <c r="Y30" s="38" t="n">
        <f aca="false">MIN(Y29,Hypothèses!$C$30)</f>
        <v>0</v>
      </c>
      <c r="Z30" s="38" t="n">
        <f aca="false">MIN(Z29,Hypothèses!$C$30)</f>
        <v>0</v>
      </c>
      <c r="AA30" s="38" t="n">
        <f aca="false">MIN(AA29,Hypothèses!$C$30)</f>
        <v>0</v>
      </c>
      <c r="AB30" s="38" t="n">
        <f aca="false">MIN(AB29,Hypothèses!$C$30)</f>
        <v>0</v>
      </c>
      <c r="AC30" s="38" t="n">
        <f aca="false">MIN(AC29,Hypothèses!$C$30)</f>
        <v>0</v>
      </c>
      <c r="AD30" s="38" t="n">
        <f aca="false">MIN(AD29,Hypothèses!$C$30)</f>
        <v>0</v>
      </c>
      <c r="AE30" s="38" t="n">
        <f aca="false">MIN(AE29,Hypothèses!$C$30)</f>
        <v>0</v>
      </c>
      <c r="AF30" s="38" t="n">
        <f aca="false">MIN(AF29,Hypothèses!$C$30)</f>
        <v>0</v>
      </c>
      <c r="AG30" s="38" t="n">
        <f aca="false">MIN(AG29,Hypothèses!$C$30)</f>
        <v>0</v>
      </c>
      <c r="AH30" s="38" t="n">
        <f aca="false">MIN(AH29,Hypothèses!$C$30)</f>
        <v>0</v>
      </c>
    </row>
    <row r="31" customFormat="false" ht="13.5" hidden="false" customHeight="true" outlineLevel="0" collapsed="false">
      <c r="B31" s="4" t="s">
        <v>108</v>
      </c>
      <c r="C31" s="25" t="s">
        <v>106</v>
      </c>
      <c r="D31" s="38" t="n">
        <f aca="false">D30</f>
        <v>0</v>
      </c>
      <c r="E31" s="38" t="n">
        <f aca="false">MIN(D31+E30,Hypothèses!$C$31)</f>
        <v>0</v>
      </c>
      <c r="F31" s="38" t="n">
        <f aca="false">MIN(E31+F30,Hypothèses!$C$31)</f>
        <v>0</v>
      </c>
      <c r="G31" s="38" t="n">
        <f aca="false">MIN(F31+G30,Hypothèses!$C$31)</f>
        <v>0</v>
      </c>
      <c r="H31" s="38" t="n">
        <f aca="false">MIN(G31+H30,Hypothèses!$C$31)</f>
        <v>0</v>
      </c>
      <c r="I31" s="38" t="n">
        <f aca="false">MIN(H31+I30,Hypothèses!$C$31)</f>
        <v>0</v>
      </c>
      <c r="J31" s="38" t="n">
        <f aca="false">MIN(I31+J30,Hypothèses!$C$31)</f>
        <v>0</v>
      </c>
      <c r="K31" s="38" t="n">
        <f aca="false">MIN(J31+K30,Hypothèses!$C$31)</f>
        <v>0</v>
      </c>
      <c r="L31" s="38" t="n">
        <f aca="false">MIN(K31+L30,Hypothèses!$C$31)</f>
        <v>0</v>
      </c>
      <c r="M31" s="38" t="n">
        <f aca="false">MIN(L31+M30,Hypothèses!$C$31)</f>
        <v>0</v>
      </c>
      <c r="N31" s="38" t="n">
        <f aca="false">MIN(M31+N30,Hypothèses!$C$31)</f>
        <v>0</v>
      </c>
      <c r="O31" s="38" t="n">
        <f aca="false">MIN(N31+O30,Hypothèses!$C$31)</f>
        <v>0</v>
      </c>
      <c r="P31" s="38" t="n">
        <f aca="false">MIN(O31+P30,Hypothèses!$C$31)</f>
        <v>0</v>
      </c>
      <c r="Q31" s="38" t="n">
        <f aca="false">MIN(P31+Q30,Hypothèses!$C$31)</f>
        <v>0</v>
      </c>
      <c r="R31" s="38" t="n">
        <f aca="false">MIN(Q31+R30,Hypothèses!$C$31)</f>
        <v>0</v>
      </c>
      <c r="S31" s="38" t="n">
        <f aca="false">MIN(R31+S30,Hypothèses!$C$31)</f>
        <v>0</v>
      </c>
      <c r="T31" s="38" t="n">
        <f aca="false">MIN(S31+T30,Hypothèses!$C$31)</f>
        <v>0</v>
      </c>
      <c r="U31" s="38" t="n">
        <f aca="false">MIN(T31+U30,Hypothèses!$C$31)</f>
        <v>0</v>
      </c>
      <c r="V31" s="38" t="n">
        <f aca="false">MIN(U31+V30,Hypothèses!$C$31)</f>
        <v>0</v>
      </c>
      <c r="W31" s="38" t="n">
        <f aca="false">MIN(V31+W30,Hypothèses!$C$31)</f>
        <v>0</v>
      </c>
      <c r="X31" s="38" t="n">
        <f aca="false">MIN(W31+X30,Hypothèses!$C$31)</f>
        <v>0</v>
      </c>
      <c r="Y31" s="38" t="n">
        <f aca="false">MIN(X31+Y30,Hypothèses!$C$31)</f>
        <v>0</v>
      </c>
      <c r="Z31" s="38" t="n">
        <f aca="false">MIN(Y31+Z30,Hypothèses!$C$31)</f>
        <v>0</v>
      </c>
      <c r="AA31" s="38" t="n">
        <f aca="false">MIN(Z31+AA30,Hypothèses!$C$31)</f>
        <v>0</v>
      </c>
      <c r="AB31" s="38" t="n">
        <f aca="false">MIN(AA31+AB30,Hypothèses!$C$31)</f>
        <v>0</v>
      </c>
      <c r="AC31" s="38" t="n">
        <f aca="false">MIN(AB31+AC30,Hypothèses!$C$31)</f>
        <v>0</v>
      </c>
      <c r="AD31" s="38" t="n">
        <f aca="false">MIN(AC31+AD30,Hypothèses!$C$31)</f>
        <v>0</v>
      </c>
      <c r="AE31" s="38" t="n">
        <f aca="false">MIN(AD31+AE30,Hypothèses!$C$31)</f>
        <v>0</v>
      </c>
      <c r="AF31" s="38" t="n">
        <f aca="false">MIN(AE31+AF30,Hypothèses!$C$31)</f>
        <v>0</v>
      </c>
      <c r="AG31" s="38" t="n">
        <f aca="false">MIN(AF31+AG30,Hypothèses!$C$31)</f>
        <v>0</v>
      </c>
      <c r="AH31" s="38" t="n">
        <f aca="false">MIN(AG31+AH30,Hypothèses!$C$31)</f>
        <v>0</v>
      </c>
    </row>
    <row r="32" customFormat="false" ht="13.5" hidden="false" customHeight="true" outlineLevel="0" collapsed="false">
      <c r="B32" s="4" t="s">
        <v>109</v>
      </c>
      <c r="C32" s="25" t="s">
        <v>78</v>
      </c>
      <c r="D32" s="34" t="n">
        <f aca="false">D30*D28</f>
        <v>0</v>
      </c>
      <c r="E32" s="34" t="n">
        <f aca="false">E30*E28</f>
        <v>0</v>
      </c>
      <c r="F32" s="34" t="n">
        <f aca="false">F30*F28</f>
        <v>0</v>
      </c>
      <c r="G32" s="34" t="n">
        <f aca="false">G30*G28</f>
        <v>0</v>
      </c>
      <c r="H32" s="34" t="n">
        <f aca="false">H30*H28</f>
        <v>0</v>
      </c>
      <c r="I32" s="34" t="n">
        <f aca="false">I30*I28</f>
        <v>0</v>
      </c>
      <c r="J32" s="34" t="n">
        <f aca="false">J30*J28</f>
        <v>0</v>
      </c>
      <c r="K32" s="34" t="n">
        <f aca="false">K30*K28</f>
        <v>0</v>
      </c>
      <c r="L32" s="34" t="n">
        <f aca="false">L30*L28</f>
        <v>0</v>
      </c>
      <c r="M32" s="34" t="n">
        <f aca="false">M30*M28</f>
        <v>0</v>
      </c>
      <c r="N32" s="34" t="n">
        <f aca="false">N30*N28</f>
        <v>0</v>
      </c>
      <c r="O32" s="34" t="n">
        <f aca="false">O30*O28</f>
        <v>0</v>
      </c>
      <c r="P32" s="34" t="n">
        <f aca="false">P30*P28</f>
        <v>0</v>
      </c>
      <c r="Q32" s="34" t="n">
        <f aca="false">Q30*Q28</f>
        <v>0</v>
      </c>
      <c r="R32" s="34" t="n">
        <f aca="false">R30*R28</f>
        <v>0</v>
      </c>
      <c r="S32" s="34" t="n">
        <f aca="false">S30*S28</f>
        <v>0</v>
      </c>
      <c r="T32" s="34" t="n">
        <f aca="false">T30*T28</f>
        <v>0</v>
      </c>
      <c r="U32" s="34" t="n">
        <f aca="false">U30*U28</f>
        <v>0</v>
      </c>
      <c r="V32" s="34" t="n">
        <f aca="false">V30*V28</f>
        <v>0</v>
      </c>
      <c r="W32" s="34" t="n">
        <f aca="false">W30*W28</f>
        <v>0</v>
      </c>
      <c r="X32" s="34" t="n">
        <f aca="false">X30*X28</f>
        <v>0</v>
      </c>
      <c r="Y32" s="34" t="n">
        <f aca="false">Y30*Y28</f>
        <v>0</v>
      </c>
      <c r="Z32" s="34" t="n">
        <f aca="false">Z30*Z28</f>
        <v>0</v>
      </c>
      <c r="AA32" s="34" t="n">
        <f aca="false">AA30*AA28</f>
        <v>0</v>
      </c>
      <c r="AB32" s="34" t="n">
        <f aca="false">AB30*AB28</f>
        <v>0</v>
      </c>
      <c r="AC32" s="34" t="n">
        <f aca="false">AC30*AC28</f>
        <v>0</v>
      </c>
      <c r="AD32" s="34" t="n">
        <f aca="false">AD30*AD28</f>
        <v>0</v>
      </c>
      <c r="AE32" s="34" t="n">
        <f aca="false">AE30*AE28</f>
        <v>0</v>
      </c>
      <c r="AF32" s="34" t="n">
        <f aca="false">AF30*AF28</f>
        <v>0</v>
      </c>
      <c r="AG32" s="34" t="n">
        <f aca="false">AG30*AG28</f>
        <v>0</v>
      </c>
      <c r="AH32" s="34" t="n">
        <f aca="false">AH30*AH28</f>
        <v>0</v>
      </c>
    </row>
    <row r="33" customFormat="false" ht="13.5" hidden="false" customHeight="true" outlineLevel="0" collapsed="false">
      <c r="B33" s="4" t="s">
        <v>110</v>
      </c>
      <c r="C33" s="25" t="s">
        <v>78</v>
      </c>
      <c r="D33" s="39" t="n">
        <f aca="false">IF(D29&gt;Hypothèses!$C$30,(D29-Hypothèses!$C$30)*D28,0)</f>
        <v>0</v>
      </c>
      <c r="E33" s="39" t="n">
        <f aca="false">IF(E29&gt;Hypothèses!$C$30,(E29-Hypothèses!$C$30)*E28,0)</f>
        <v>0</v>
      </c>
      <c r="F33" s="39" t="n">
        <f aca="false">IF(F29&gt;Hypothèses!$C$30,(F29-Hypothèses!$C$30)*F28,0)</f>
        <v>0</v>
      </c>
      <c r="G33" s="39" t="n">
        <f aca="false">IF(G29&gt;Hypothèses!$C$30,(G29-Hypothèses!$C$30)*G28,0)</f>
        <v>0</v>
      </c>
      <c r="H33" s="39" t="n">
        <f aca="false">IF(H29&gt;Hypothèses!$C$30,(H29-Hypothèses!$C$30)*H28,0)</f>
        <v>0</v>
      </c>
      <c r="I33" s="39" t="n">
        <f aca="false">IF(I29&gt;Hypothèses!$C$30,(I29-Hypothèses!$C$30)*I28,0)</f>
        <v>0</v>
      </c>
      <c r="J33" s="39" t="n">
        <f aca="false">IF(J29&gt;Hypothèses!$C$30,(J29-Hypothèses!$C$30)*J28,0)</f>
        <v>0</v>
      </c>
      <c r="K33" s="39" t="n">
        <f aca="false">IF(K29&gt;Hypothèses!$C$30,(K29-Hypothèses!$C$30)*K28,0)</f>
        <v>0</v>
      </c>
      <c r="L33" s="39" t="n">
        <f aca="false">IF(L29&gt;Hypothèses!$C$30,(L29-Hypothèses!$C$30)*L28,0)</f>
        <v>0</v>
      </c>
      <c r="M33" s="39" t="n">
        <f aca="false">IF(M29&gt;Hypothèses!$C$30,(M29-Hypothèses!$C$30)*M28,0)</f>
        <v>0</v>
      </c>
      <c r="N33" s="39" t="n">
        <f aca="false">IF(N29&gt;Hypothèses!$C$30,(N29-Hypothèses!$C$30)*N28,0)</f>
        <v>0</v>
      </c>
      <c r="O33" s="39" t="n">
        <f aca="false">IF(O29&gt;Hypothèses!$C$30,(O29-Hypothèses!$C$30)*O28,0)</f>
        <v>0</v>
      </c>
      <c r="P33" s="39" t="n">
        <f aca="false">IF(P29&gt;Hypothèses!$C$30,(P29-Hypothèses!$C$30)*P28,0)</f>
        <v>0</v>
      </c>
      <c r="Q33" s="39" t="n">
        <f aca="false">IF(Q29&gt;Hypothèses!$C$30,(Q29-Hypothèses!$C$30)*Q28,0)</f>
        <v>0</v>
      </c>
      <c r="R33" s="39" t="n">
        <f aca="false">IF(R29&gt;Hypothèses!$C$30,(R29-Hypothèses!$C$30)*R28,0)</f>
        <v>0</v>
      </c>
      <c r="S33" s="39" t="n">
        <f aca="false">IF(S29&gt;Hypothèses!$C$30,(S29-Hypothèses!$C$30)*S28,0)</f>
        <v>0</v>
      </c>
      <c r="T33" s="39" t="n">
        <f aca="false">IF(T29&gt;Hypothèses!$C$30,(T29-Hypothèses!$C$30)*T28,0)</f>
        <v>0</v>
      </c>
      <c r="U33" s="39" t="n">
        <f aca="false">IF(U29&gt;Hypothèses!$C$30,(U29-Hypothèses!$C$30)*U28,0)</f>
        <v>0</v>
      </c>
      <c r="V33" s="39" t="n">
        <f aca="false">IF(V29&gt;Hypothèses!$C$30,(V29-Hypothèses!$C$30)*V28,0)</f>
        <v>0</v>
      </c>
      <c r="W33" s="39" t="n">
        <f aca="false">IF(W29&gt;Hypothèses!$C$30,(W29-Hypothèses!$C$30)*W28,0)</f>
        <v>0</v>
      </c>
      <c r="X33" s="39" t="n">
        <f aca="false">IF(X29&gt;Hypothèses!$C$30,(X29-Hypothèses!$C$30)*X28,0)</f>
        <v>0</v>
      </c>
      <c r="Y33" s="39" t="n">
        <f aca="false">IF(Y29&gt;Hypothèses!$C$30,(Y29-Hypothèses!$C$30)*Y28,0)</f>
        <v>0</v>
      </c>
      <c r="Z33" s="39" t="n">
        <f aca="false">IF(Z29&gt;Hypothèses!$C$30,(Z29-Hypothèses!$C$30)*Z28,0)</f>
        <v>0</v>
      </c>
      <c r="AA33" s="39" t="n">
        <f aca="false">IF(AA29&gt;Hypothèses!$C$30,(AA29-Hypothèses!$C$30)*AA28,0)</f>
        <v>0</v>
      </c>
      <c r="AB33" s="39" t="n">
        <f aca="false">IF(AB29&gt;Hypothèses!$C$30,(AB29-Hypothèses!$C$30)*AB28,0)</f>
        <v>0</v>
      </c>
      <c r="AC33" s="39" t="n">
        <f aca="false">IF(AC29&gt;Hypothèses!$C$30,(AC29-Hypothèses!$C$30)*AC28,0)</f>
        <v>0</v>
      </c>
      <c r="AD33" s="39" t="n">
        <f aca="false">IF(AD29&gt;Hypothèses!$C$30,(AD29-Hypothèses!$C$30)*AD28,0)</f>
        <v>0</v>
      </c>
      <c r="AE33" s="39" t="n">
        <f aca="false">IF(AE29&gt;Hypothèses!$C$30,(AE29-Hypothèses!$C$30)*AE28,0)</f>
        <v>0</v>
      </c>
      <c r="AF33" s="39" t="n">
        <f aca="false">IF(AF29&gt;Hypothèses!$C$30,(AF29-Hypothèses!$C$30)*AF28,0)</f>
        <v>0</v>
      </c>
      <c r="AG33" s="39" t="n">
        <f aca="false">IF(AG29&gt;Hypothèses!$C$30,(AG29-Hypothèses!$C$30)*AG28,0)</f>
        <v>0</v>
      </c>
      <c r="AH33" s="39" t="n">
        <f aca="false">IF(AH29&gt;Hypothèses!$C$30,(AH29-Hypothèses!$C$30)*AH28,0)</f>
        <v>0</v>
      </c>
    </row>
    <row r="34" customFormat="false" ht="13.5" hidden="false" customHeight="true" outlineLevel="0" collapsed="false">
      <c r="B34" s="4" t="s">
        <v>111</v>
      </c>
      <c r="C34" s="25"/>
      <c r="D34" s="40" t="str">
        <f aca="false">IF(D33&gt;0,"⚠ ALERTE","✓")</f>
        <v>✓</v>
      </c>
      <c r="E34" s="40" t="str">
        <f aca="false">IF(E33&gt;0,"⚠ ALERTE","✓")</f>
        <v>✓</v>
      </c>
      <c r="F34" s="40" t="str">
        <f aca="false">IF(F33&gt;0,"⚠ ALERTE","✓")</f>
        <v>✓</v>
      </c>
      <c r="G34" s="40" t="str">
        <f aca="false">IF(G33&gt;0,"⚠ ALERTE","✓")</f>
        <v>✓</v>
      </c>
      <c r="H34" s="40" t="str">
        <f aca="false">IF(H33&gt;0,"⚠ ALERTE","✓")</f>
        <v>✓</v>
      </c>
      <c r="I34" s="40" t="str">
        <f aca="false">IF(I33&gt;0,"⚠ ALERTE","✓")</f>
        <v>✓</v>
      </c>
      <c r="J34" s="40" t="str">
        <f aca="false">IF(J33&gt;0,"⚠ ALERTE","✓")</f>
        <v>✓</v>
      </c>
      <c r="K34" s="40" t="str">
        <f aca="false">IF(K33&gt;0,"⚠ ALERTE","✓")</f>
        <v>✓</v>
      </c>
      <c r="L34" s="40" t="str">
        <f aca="false">IF(L33&gt;0,"⚠ ALERTE","✓")</f>
        <v>✓</v>
      </c>
      <c r="M34" s="40" t="str">
        <f aca="false">IF(M33&gt;0,"⚠ ALERTE","✓")</f>
        <v>✓</v>
      </c>
      <c r="N34" s="40" t="str">
        <f aca="false">IF(N33&gt;0,"⚠ ALERTE","✓")</f>
        <v>✓</v>
      </c>
      <c r="O34" s="40" t="str">
        <f aca="false">IF(O33&gt;0,"⚠ ALERTE","✓")</f>
        <v>✓</v>
      </c>
      <c r="P34" s="40" t="str">
        <f aca="false">IF(P33&gt;0,"⚠ ALERTE","✓")</f>
        <v>✓</v>
      </c>
      <c r="Q34" s="40" t="str">
        <f aca="false">IF(Q33&gt;0,"⚠ ALERTE","✓")</f>
        <v>✓</v>
      </c>
      <c r="R34" s="40" t="str">
        <f aca="false">IF(R33&gt;0,"⚠ ALERTE","✓")</f>
        <v>✓</v>
      </c>
      <c r="S34" s="40" t="str">
        <f aca="false">IF(S33&gt;0,"⚠ ALERTE","✓")</f>
        <v>✓</v>
      </c>
      <c r="T34" s="40" t="str">
        <f aca="false">IF(T33&gt;0,"⚠ ALERTE","✓")</f>
        <v>✓</v>
      </c>
      <c r="U34" s="40" t="str">
        <f aca="false">IF(U33&gt;0,"⚠ ALERTE","✓")</f>
        <v>✓</v>
      </c>
      <c r="V34" s="40" t="str">
        <f aca="false">IF(V33&gt;0,"⚠ ALERTE","✓")</f>
        <v>✓</v>
      </c>
      <c r="W34" s="40" t="str">
        <f aca="false">IF(W33&gt;0,"⚠ ALERTE","✓")</f>
        <v>✓</v>
      </c>
      <c r="X34" s="40" t="str">
        <f aca="false">IF(X33&gt;0,"⚠ ALERTE","✓")</f>
        <v>✓</v>
      </c>
      <c r="Y34" s="40" t="str">
        <f aca="false">IF(Y33&gt;0,"⚠ ALERTE","✓")</f>
        <v>✓</v>
      </c>
      <c r="Z34" s="40" t="str">
        <f aca="false">IF(Z33&gt;0,"⚠ ALERTE","✓")</f>
        <v>✓</v>
      </c>
      <c r="AA34" s="40" t="str">
        <f aca="false">IF(AA33&gt;0,"⚠ ALERTE","✓")</f>
        <v>✓</v>
      </c>
      <c r="AB34" s="40" t="str">
        <f aca="false">IF(AB33&gt;0,"⚠ ALERTE","✓")</f>
        <v>✓</v>
      </c>
      <c r="AC34" s="40" t="str">
        <f aca="false">IF(AC33&gt;0,"⚠ ALERTE","✓")</f>
        <v>✓</v>
      </c>
      <c r="AD34" s="40" t="str">
        <f aca="false">IF(AD33&gt;0,"⚠ ALERTE","✓")</f>
        <v>✓</v>
      </c>
      <c r="AE34" s="40" t="str">
        <f aca="false">IF(AE33&gt;0,"⚠ ALERTE","✓")</f>
        <v>✓</v>
      </c>
      <c r="AF34" s="40" t="str">
        <f aca="false">IF(AF33&gt;0,"⚠ ALERTE","✓")</f>
        <v>✓</v>
      </c>
      <c r="AG34" s="40" t="str">
        <f aca="false">IF(AG33&gt;0,"⚠ ALERTE","✓")</f>
        <v>✓</v>
      </c>
      <c r="AH34" s="40" t="str">
        <f aca="false">IF(AH33&gt;0,"⚠ ALERTE","✓")</f>
        <v>✓</v>
      </c>
    </row>
    <row r="35" customFormat="false" ht="15.75" hidden="false" customHeight="true" outlineLevel="0" collapsed="false">
      <c r="B35" s="33" t="s">
        <v>112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customFormat="false" ht="13.5" hidden="false" customHeight="true" outlineLevel="0" collapsed="false">
      <c r="B36" s="4" t="s">
        <v>113</v>
      </c>
      <c r="C36" s="25" t="s">
        <v>78</v>
      </c>
      <c r="D36" s="29" t="n">
        <f aca="false">D12+D24+D26+D32+D16</f>
        <v>-23.4256791632285</v>
      </c>
      <c r="E36" s="29" t="n">
        <f aca="false">E12+E24+E26+E32+E16</f>
        <v>55.8770139520463</v>
      </c>
      <c r="F36" s="29" t="n">
        <f aca="false">F12+F24+F26+F32+F16</f>
        <v>57.365981381158</v>
      </c>
      <c r="G36" s="29" t="n">
        <f aca="false">G12+G24+G26+G32+G16</f>
        <v>58.8618189907315</v>
      </c>
      <c r="H36" s="29" t="n">
        <f aca="false">H12+H24+H26+H32+H16</f>
        <v>59.1987650118202</v>
      </c>
      <c r="I36" s="29" t="n">
        <f aca="false">I12+I24+I26+I32+I16</f>
        <v>59.5438285039702</v>
      </c>
      <c r="J36" s="29" t="n">
        <f aca="false">J12+J24+J26+J32+J16</f>
        <v>59.89749020439</v>
      </c>
      <c r="K36" s="29" t="n">
        <f aca="false">K12+K24+K26+K32+K16</f>
        <v>60.2602534106106</v>
      </c>
      <c r="L36" s="29" t="n">
        <f aca="false">L12+L24+L26+L32+L16</f>
        <v>60.6326448980347</v>
      </c>
      <c r="M36" s="29" t="n">
        <f aca="false">M12+M24+M26+M32+M16</f>
        <v>61.0152158738316</v>
      </c>
      <c r="N36" s="29" t="n">
        <f aca="false">N12+N24+N26+N32+N16</f>
        <v>61.4085429687098</v>
      </c>
      <c r="O36" s="29" t="n">
        <f aca="false">O12+O24+O26+O32+O16</f>
        <v>61.8132292681662</v>
      </c>
      <c r="P36" s="29" t="n">
        <f aca="false">P12+P24+P26+P32+P16</f>
        <v>62.2581165214891</v>
      </c>
      <c r="Q36" s="29" t="n">
        <f aca="false">Q12+Q24+Q26+Q32+Q16</f>
        <v>62.7457069021017</v>
      </c>
      <c r="R36" s="29" t="n">
        <f aca="false">R12+R24+R26+R32+R16</f>
        <v>63.278615082728</v>
      </c>
      <c r="S36" s="29" t="n">
        <f aca="false">S12+S24+S26+S32+S16</f>
        <v>63.8595726747285</v>
      </c>
      <c r="T36" s="29" t="n">
        <f aca="false">T12+T24+T26+T32+T16</f>
        <v>63.7127484789611</v>
      </c>
      <c r="U36" s="29" t="n">
        <f aca="false">U12+U24+U26+U32+U16</f>
        <v>63.5533643963985</v>
      </c>
      <c r="V36" s="29" t="n">
        <f aca="false">V12+V24+V26+V32+V16</f>
        <v>63.381231267148</v>
      </c>
      <c r="W36" s="29" t="n">
        <f aca="false">W12+W24+W26+W32+W16</f>
        <v>63.1961615240191</v>
      </c>
      <c r="X36" s="29" t="n">
        <f aca="false">X12+X24+X26+X32+X16</f>
        <v>62.9979694139202</v>
      </c>
      <c r="Y36" s="29" t="n">
        <f aca="false">Y12+Y24+Y26+Y32+Y16</f>
        <v>62.7864712296036</v>
      </c>
      <c r="Z36" s="29" t="n">
        <f aca="false">Z12+Z24+Z26+Z32+Z16</f>
        <v>62.6008616535877</v>
      </c>
      <c r="AA36" s="29" t="n">
        <f aca="false">AA12+AA24+AA26+AA32+AA16</f>
        <v>62.4433877459323</v>
      </c>
      <c r="AB36" s="29" t="n">
        <f aca="false">AB12+AB24+AB26+AB32+AB16</f>
        <v>62.3163999375744</v>
      </c>
      <c r="AC36" s="29" t="n">
        <f aca="false">AC12+AC24+AC26+AC32+AC16</f>
        <v>62.2223558249841</v>
      </c>
      <c r="AD36" s="29" t="n">
        <f aca="false">AD12+AD24+AD26+AD32+AD16</f>
        <v>61.0769641475771</v>
      </c>
      <c r="AE36" s="29" t="n">
        <f aca="false">AE12+AE24+AE26+AE32+AE16</f>
        <v>59.6032954269192</v>
      </c>
      <c r="AF36" s="29" t="n">
        <f aca="false">AF12+AF24+AF26+AF32+AF16</f>
        <v>58.0697293513243</v>
      </c>
      <c r="AG36" s="29" t="n">
        <f aca="false">AG12+AG24+AG26+AG32+AG16</f>
        <v>56.4747505582201</v>
      </c>
      <c r="AH36" s="29" t="n">
        <f aca="false">AH12+AH24+AH26+AH32+AH16</f>
        <v>54.8168108350902</v>
      </c>
    </row>
    <row r="37" customFormat="false" ht="13.5" hidden="false" customHeight="true" outlineLevel="0" collapsed="false">
      <c r="B37" s="4" t="s">
        <v>114</v>
      </c>
      <c r="C37" s="25" t="s">
        <v>89</v>
      </c>
      <c r="D37" s="41" t="n">
        <f aca="false">IFERROR(D36/D4,0)</f>
        <v>-0.00807782040111328</v>
      </c>
      <c r="E37" s="41" t="n">
        <f aca="false">IFERROR(E36/E4,0)</f>
        <v>0.019011095939392</v>
      </c>
      <c r="F37" s="41" t="n">
        <f aca="false">IFERROR(F36/F4,0)</f>
        <v>0.0192575198200728</v>
      </c>
      <c r="G37" s="41" t="n">
        <f aca="false">IFERROR(G36/G4,0)</f>
        <v>0.0194962716146319</v>
      </c>
      <c r="H37" s="41" t="n">
        <f aca="false">IFERROR(H36/H4,0)</f>
        <v>0.0193465039504189</v>
      </c>
      <c r="I37" s="41" t="n">
        <f aca="false">IFERROR(I36/I4,0)</f>
        <v>0.0191998823153742</v>
      </c>
      <c r="J37" s="41" t="n">
        <f aca="false">IFERROR(J36/J4,0)</f>
        <v>0.0190564675050897</v>
      </c>
      <c r="K37" s="41" t="n">
        <f aca="false">IFERROR(K36/K4,0)</f>
        <v>0.0189163216048154</v>
      </c>
      <c r="L37" s="41" t="n">
        <f aca="false">IFERROR(L36/L4,0)</f>
        <v>0.0187795080205897</v>
      </c>
      <c r="M37" s="41" t="n">
        <f aca="false">IFERROR(M36/M4,0)</f>
        <v>0.0186460915114491</v>
      </c>
      <c r="N37" s="41" t="n">
        <f aca="false">IFERROR(N36/N4,0)</f>
        <v>0.0185161382227641</v>
      </c>
      <c r="O37" s="41" t="n">
        <f aca="false">IFERROR(O36/O4,0)</f>
        <v>0.0183897157207498</v>
      </c>
      <c r="P37" s="41" t="n">
        <f aca="false">IFERROR(P36/P4,0)</f>
        <v>0.0182751740919668</v>
      </c>
      <c r="Q37" s="41" t="n">
        <f aca="false">IFERROR(Q36/Q4,0)</f>
        <v>0.0181727864522228</v>
      </c>
      <c r="R37" s="41" t="n">
        <f aca="false">IFERROR(R36/R4,0)</f>
        <v>0.0180828314499991</v>
      </c>
      <c r="S37" s="41" t="n">
        <f aca="false">IFERROR(S36/S4,0)</f>
        <v>0.0180055933948694</v>
      </c>
      <c r="T37" s="41" t="n">
        <f aca="false">IFERROR(T36/T4,0)</f>
        <v>0.0177247342634711</v>
      </c>
      <c r="U37" s="41" t="n">
        <f aca="false">IFERROR(U36/U4,0)</f>
        <v>0.0174447158812987</v>
      </c>
      <c r="V37" s="41" t="n">
        <f aca="false">IFERROR(V36/V4,0)</f>
        <v>0.0171655604643786</v>
      </c>
      <c r="W37" s="41" t="n">
        <f aca="false">IFERROR(W36/W4,0)</f>
        <v>0.0168872906658793</v>
      </c>
      <c r="X37" s="41" t="n">
        <f aca="false">IFERROR(X36/X4,0)</f>
        <v>0.01660992958272</v>
      </c>
      <c r="Y37" s="41" t="n">
        <f aca="false">IFERROR(Y36/Y4,0)</f>
        <v>0.0163335007623351</v>
      </c>
      <c r="Z37" s="41" t="n">
        <f aca="false">IFERROR(Z36/Z4,0)</f>
        <v>0.0160681351075095</v>
      </c>
      <c r="AA37" s="41" t="n">
        <f aca="false">IFERROR(AA36/AA4,0)</f>
        <v>0.0158140672948374</v>
      </c>
      <c r="AB37" s="41" t="n">
        <f aca="false">IFERROR(AB36/AB4,0)</f>
        <v>0.015571535618075</v>
      </c>
      <c r="AC37" s="41" t="n">
        <f aca="false">IFERROR(AC36/AC4,0)</f>
        <v>0.0153407820402443</v>
      </c>
      <c r="AD37" s="41" t="n">
        <f aca="false">IFERROR(AD36/AD4,0)</f>
        <v>0.014857661291364</v>
      </c>
      <c r="AE37" s="41" t="n">
        <f aca="false">IFERROR(AE36/AE4,0)</f>
        <v>0.0143059019964608</v>
      </c>
      <c r="AF37" s="41" t="n">
        <f aca="false">IFERROR(AF36/AF4,0)</f>
        <v>0.0137520276567251</v>
      </c>
      <c r="AG37" s="41" t="n">
        <f aca="false">IFERROR(AG36/AG4,0)</f>
        <v>0.0131960276985379</v>
      </c>
      <c r="AH37" s="41" t="n">
        <f aca="false">IFERROR(AH36/AH4,0)</f>
        <v>0.0126378915518489</v>
      </c>
    </row>
    <row r="38" customFormat="false" ht="13.5" hidden="false" customHeight="true" outlineLevel="0" collapsed="false">
      <c r="B38" s="4" t="s">
        <v>115</v>
      </c>
      <c r="C38" s="25" t="s">
        <v>89</v>
      </c>
      <c r="D38" s="42" t="n">
        <f aca="false">D37-D13</f>
        <v>-0.00307782040111328</v>
      </c>
      <c r="E38" s="42" t="n">
        <f aca="false">E37-E13</f>
        <v>-0.0037436307278928</v>
      </c>
      <c r="F38" s="42" t="n">
        <f aca="false">F37-F13</f>
        <v>-0.00332530571800168</v>
      </c>
      <c r="G38" s="42" t="n">
        <f aca="false">G37-G13</f>
        <v>-0.00291818282847309</v>
      </c>
      <c r="H38" s="42" t="n">
        <f aca="false">H37-H13</f>
        <v>-0.00290318596560257</v>
      </c>
      <c r="I38" s="42" t="n">
        <f aca="false">I37-I13</f>
        <v>-0.00288872767275808</v>
      </c>
      <c r="J38" s="42" t="n">
        <f aca="false">J37-J13</f>
        <v>-0.00287482672065223</v>
      </c>
      <c r="K38" s="42" t="n">
        <f aca="false">K37-K13</f>
        <v>-0.00286150216391883</v>
      </c>
      <c r="L38" s="42" t="n">
        <f aca="false">L37-L13</f>
        <v>-0.00284877334986981</v>
      </c>
      <c r="M38" s="42" t="n">
        <f aca="false">M37-M13</f>
        <v>-0.00283665992753312</v>
      </c>
      <c r="N38" s="42" t="n">
        <f aca="false">N37-N13</f>
        <v>-0.00282518185698471</v>
      </c>
      <c r="O38" s="42" t="n">
        <f aca="false">O37-O13</f>
        <v>-0.00281435941898802</v>
      </c>
      <c r="P38" s="42" t="n">
        <f aca="false">P37-P13</f>
        <v>-0.00279593216119304</v>
      </c>
      <c r="Q38" s="42" t="n">
        <f aca="false">Q37-Q13</f>
        <v>-0.00276971843655272</v>
      </c>
      <c r="R38" s="42" t="n">
        <f aca="false">R37-R13</f>
        <v>-0.00273553294890607</v>
      </c>
      <c r="S38" s="42" t="n">
        <f aca="false">S37-S13</f>
        <v>-0.00269318667534008</v>
      </c>
      <c r="T38" s="42" t="n">
        <f aca="false">T37-T13</f>
        <v>-0.00264248678637813</v>
      </c>
      <c r="U38" s="42" t="n">
        <f aca="false">U37-U13</f>
        <v>-0.00259178618361196</v>
      </c>
      <c r="V38" s="42" t="n">
        <f aca="false">V37-V13</f>
        <v>-0.002541093345638</v>
      </c>
      <c r="W38" s="42" t="n">
        <f aca="false">W37-W13</f>
        <v>-0.0024904168216545</v>
      </c>
      <c r="X38" s="42" t="n">
        <f aca="false">X37-X13</f>
        <v>-0.00243976523365601</v>
      </c>
      <c r="Y38" s="42" t="n">
        <f aca="false">Y37-Y13</f>
        <v>-0.00238914727866094</v>
      </c>
      <c r="Z38" s="42" t="n">
        <f aca="false">Z37-Z13</f>
        <v>-0.00232846483306343</v>
      </c>
      <c r="AA38" s="42" t="n">
        <f aca="false">AA37-AA13</f>
        <v>-0.00225751654356065</v>
      </c>
      <c r="AB38" s="42" t="n">
        <f aca="false">AB37-AB13</f>
        <v>-0.00217609799339195</v>
      </c>
      <c r="AC38" s="42" t="n">
        <f aca="false">AC37-AC13</f>
        <v>-0.00208400166003825</v>
      </c>
      <c r="AD38" s="42" t="n">
        <f aca="false">AD37-AD13</f>
        <v>-0.00198101687225414</v>
      </c>
      <c r="AE38" s="42" t="n">
        <f aca="false">AE37-AE13</f>
        <v>-0.00194403567678235</v>
      </c>
      <c r="AF38" s="42" t="n">
        <f aca="false">AF37-AF13</f>
        <v>-0.00190652369535595</v>
      </c>
      <c r="AG38" s="42" t="n">
        <f aca="false">AG37-AG13</f>
        <v>-0.00186848058774206</v>
      </c>
      <c r="AH38" s="42" t="n">
        <f aca="false">AH37-AH13</f>
        <v>-0.00182990597331692</v>
      </c>
    </row>
    <row r="39" customFormat="false" ht="15.75" hidden="false" customHeight="true" outlineLevel="0" collapsed="false">
      <c r="B39" s="36" t="s">
        <v>116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customFormat="false" ht="13.5" hidden="false" customHeight="true" outlineLevel="0" collapsed="false">
      <c r="B40" s="4" t="s">
        <v>117</v>
      </c>
      <c r="C40" s="25"/>
      <c r="D40" s="40" t="str">
        <f aca="false">IF(D37&gt;=0,"✓ Convergence","⚠ Déficit")</f>
        <v>⚠ Déficit</v>
      </c>
      <c r="E40" s="40" t="str">
        <f aca="false">IF(E37&gt;=0,"✓ Convergence","⚠ Déficit")</f>
        <v>✓ Convergence</v>
      </c>
      <c r="F40" s="40" t="str">
        <f aca="false">IF(F37&gt;=0,"✓ Convergence","⚠ Déficit")</f>
        <v>✓ Convergence</v>
      </c>
      <c r="G40" s="40" t="str">
        <f aca="false">IF(G37&gt;=0,"✓ Convergence","⚠ Déficit")</f>
        <v>✓ Convergence</v>
      </c>
      <c r="H40" s="40" t="str">
        <f aca="false">IF(H37&gt;=0,"✓ Convergence","⚠ Déficit")</f>
        <v>✓ Convergence</v>
      </c>
      <c r="I40" s="40" t="str">
        <f aca="false">IF(I37&gt;=0,"✓ Convergence","⚠ Déficit")</f>
        <v>✓ Convergence</v>
      </c>
      <c r="J40" s="40" t="str">
        <f aca="false">IF(J37&gt;=0,"✓ Convergence","⚠ Déficit")</f>
        <v>✓ Convergence</v>
      </c>
      <c r="K40" s="40" t="str">
        <f aca="false">IF(K37&gt;=0,"✓ Convergence","⚠ Déficit")</f>
        <v>✓ Convergence</v>
      </c>
      <c r="L40" s="40" t="str">
        <f aca="false">IF(L37&gt;=0,"✓ Convergence","⚠ Déficit")</f>
        <v>✓ Convergence</v>
      </c>
      <c r="M40" s="40" t="str">
        <f aca="false">IF(M37&gt;=0,"✓ Convergence","⚠ Déficit")</f>
        <v>✓ Convergence</v>
      </c>
      <c r="N40" s="40" t="str">
        <f aca="false">IF(N37&gt;=0,"✓ Convergence","⚠ Déficit")</f>
        <v>✓ Convergence</v>
      </c>
      <c r="O40" s="40" t="str">
        <f aca="false">IF(O37&gt;=0,"✓ Convergence","⚠ Déficit")</f>
        <v>✓ Convergence</v>
      </c>
      <c r="P40" s="40" t="str">
        <f aca="false">IF(P37&gt;=0,"✓ Convergence","⚠ Déficit")</f>
        <v>✓ Convergence</v>
      </c>
      <c r="Q40" s="40" t="str">
        <f aca="false">IF(Q37&gt;=0,"✓ Convergence","⚠ Déficit")</f>
        <v>✓ Convergence</v>
      </c>
      <c r="R40" s="40" t="str">
        <f aca="false">IF(R37&gt;=0,"✓ Convergence","⚠ Déficit")</f>
        <v>✓ Convergence</v>
      </c>
      <c r="S40" s="40" t="str">
        <f aca="false">IF(S37&gt;=0,"✓ Convergence","⚠ Déficit")</f>
        <v>✓ Convergence</v>
      </c>
      <c r="T40" s="40" t="str">
        <f aca="false">IF(T37&gt;=0,"✓ Convergence","⚠ Déficit")</f>
        <v>✓ Convergence</v>
      </c>
      <c r="U40" s="40" t="str">
        <f aca="false">IF(U37&gt;=0,"✓ Convergence","⚠ Déficit")</f>
        <v>✓ Convergence</v>
      </c>
      <c r="V40" s="40" t="str">
        <f aca="false">IF(V37&gt;=0,"✓ Convergence","⚠ Déficit")</f>
        <v>✓ Convergence</v>
      </c>
      <c r="W40" s="40" t="str">
        <f aca="false">IF(W37&gt;=0,"✓ Convergence","⚠ Déficit")</f>
        <v>✓ Convergence</v>
      </c>
      <c r="X40" s="40" t="str">
        <f aca="false">IF(X37&gt;=0,"✓ Convergence","⚠ Déficit")</f>
        <v>✓ Convergence</v>
      </c>
      <c r="Y40" s="40" t="str">
        <f aca="false">IF(Y37&gt;=0,"✓ Convergence","⚠ Déficit")</f>
        <v>✓ Convergence</v>
      </c>
      <c r="Z40" s="40" t="str">
        <f aca="false">IF(Z37&gt;=0,"✓ Convergence","⚠ Déficit")</f>
        <v>✓ Convergence</v>
      </c>
      <c r="AA40" s="40" t="str">
        <f aca="false">IF(AA37&gt;=0,"✓ Convergence","⚠ Déficit")</f>
        <v>✓ Convergence</v>
      </c>
      <c r="AB40" s="40" t="str">
        <f aca="false">IF(AB37&gt;=0,"✓ Convergence","⚠ Déficit")</f>
        <v>✓ Convergence</v>
      </c>
      <c r="AC40" s="40" t="str">
        <f aca="false">IF(AC37&gt;=0,"✓ Convergence","⚠ Déficit")</f>
        <v>✓ Convergence</v>
      </c>
      <c r="AD40" s="40" t="str">
        <f aca="false">IF(AD37&gt;=0,"✓ Convergence","⚠ Déficit")</f>
        <v>✓ Convergence</v>
      </c>
      <c r="AE40" s="40" t="str">
        <f aca="false">IF(AE37&gt;=0,"✓ Convergence","⚠ Déficit")</f>
        <v>✓ Convergence</v>
      </c>
      <c r="AF40" s="40" t="str">
        <f aca="false">IF(AF37&gt;=0,"✓ Convergence","⚠ Déficit")</f>
        <v>✓ Convergence</v>
      </c>
      <c r="AG40" s="40" t="str">
        <f aca="false">IF(AG37&gt;=0,"✓ Convergence","⚠ Déficit")</f>
        <v>✓ Convergence</v>
      </c>
      <c r="AH40" s="40" t="str">
        <f aca="false">IF(AH37&gt;=0,"✓ Convergence","⚠ Déficit")</f>
        <v>✓ Convergence</v>
      </c>
    </row>
    <row r="41" customFormat="false" ht="13.5" hidden="false" customHeight="true" outlineLevel="0" collapsed="false">
      <c r="B41" s="4" t="s">
        <v>118</v>
      </c>
      <c r="C41" s="25" t="s">
        <v>82</v>
      </c>
      <c r="D41" s="43" t="n">
        <f aca="false">IFERROR(D20/(D10*3),0)</f>
        <v>0.0253140096618357</v>
      </c>
      <c r="E41" s="43" t="n">
        <f aca="false">IFERROR(E20/(E10*3),0)</f>
        <v>0.0258839722439013</v>
      </c>
      <c r="F41" s="43" t="n">
        <f aca="false">IFERROR(F20/(F10*3),0)</f>
        <v>0.0267932500255794</v>
      </c>
      <c r="G41" s="43" t="n">
        <f aca="false">IFERROR(G20/(G10*3),0)</f>
        <v>0.0280388538313425</v>
      </c>
      <c r="H41" s="43" t="n">
        <f aca="false">IFERROR(H20/(H10*3),0)</f>
        <v>0.0292994772206647</v>
      </c>
      <c r="I41" s="43" t="n">
        <f aca="false">IFERROR(I20/(I10*3),0)</f>
        <v>0.0305756924550913</v>
      </c>
      <c r="J41" s="43" t="n">
        <f aca="false">IFERROR(J20/(J10*3),0)</f>
        <v>0.0318680841781083</v>
      </c>
      <c r="K41" s="43" t="n">
        <f aca="false">IFERROR(K20/(K10*3),0)</f>
        <v>0.0331772499220327</v>
      </c>
      <c r="L41" s="43" t="n">
        <f aca="false">IFERROR(L20/(L10*3),0)</f>
        <v>0.0345038006350262</v>
      </c>
      <c r="M41" s="43" t="n">
        <f aca="false">IFERROR(M20/(M10*3),0)</f>
        <v>0.0358483612293074</v>
      </c>
      <c r="N41" s="43" t="n">
        <f aca="false">IFERROR(N20/(N10*3),0)</f>
        <v>0.0372115711517024</v>
      </c>
      <c r="O41" s="43" t="n">
        <f aca="false">IFERROR(O20/(O10*3),0)</f>
        <v>0.0385940849777443</v>
      </c>
      <c r="P41" s="43" t="n">
        <f aca="false">IFERROR(P20/(P10*3),0)</f>
        <v>0.0399965730306064</v>
      </c>
      <c r="Q41" s="43" t="n">
        <f aca="false">IFERROR(Q20/(Q10*3),0)</f>
        <v>0.0414197220262363</v>
      </c>
      <c r="R41" s="43" t="n">
        <f aca="false">IFERROR(R20/(R10*3),0)</f>
        <v>0.0428642357461404</v>
      </c>
      <c r="S41" s="43" t="n">
        <f aca="false">IFERROR(S20/(S10*3),0)</f>
        <v>0.0443308357393659</v>
      </c>
      <c r="T41" s="43" t="n">
        <f aca="false">IFERROR(T20/(T10*3),0)</f>
        <v>0.0457385860088784</v>
      </c>
      <c r="U41" s="43" t="n">
        <f aca="false">IFERROR(U20/(U10*3),0)</f>
        <v>0.0471634661009045</v>
      </c>
      <c r="V41" s="43" t="n">
        <f aca="false">IFERROR(V20/(V10*3),0)</f>
        <v>0.0486060003691171</v>
      </c>
      <c r="W41" s="43" t="n">
        <f aca="false">IFERROR(W20/(W10*3),0)</f>
        <v>0.0500667216710811</v>
      </c>
      <c r="X41" s="43" t="n">
        <f aca="false">IFERROR(X20/(X10*3),0)</f>
        <v>0.0515461716387485</v>
      </c>
      <c r="Y41" s="43" t="n">
        <f aca="false">IFERROR(Y20/(Y10*3),0)</f>
        <v>0.0530449009555761</v>
      </c>
      <c r="Z41" s="43" t="n">
        <f aca="false">IFERROR(Z20/(Z10*3),0)</f>
        <v>0.0545634696405083</v>
      </c>
      <c r="AA41" s="43" t="n">
        <f aca="false">IFERROR(AA20/(AA10*3),0)</f>
        <v>0.0561024473390787</v>
      </c>
      <c r="AB41" s="43" t="n">
        <f aca="false">IFERROR(AB20/(AB10*3),0)</f>
        <v>0.0576624136218915</v>
      </c>
      <c r="AC41" s="43" t="n">
        <f aca="false">IFERROR(AC20/(AC10*3),0)</f>
        <v>0.0592439582907572</v>
      </c>
      <c r="AD41" s="43" t="n">
        <f aca="false">IFERROR(AD20/(AD10*3),0)</f>
        <v>0.060719039659586</v>
      </c>
      <c r="AE41" s="43" t="n">
        <f aca="false">IFERROR(AE20/(AE10*3),0)</f>
        <v>0.0622093789481215</v>
      </c>
      <c r="AF41" s="43" t="n">
        <f aca="false">IFERROR(AF20/(AF10*3),0)</f>
        <v>0.0637153922712947</v>
      </c>
      <c r="AG41" s="43" t="n">
        <f aca="false">IFERROR(AG20/(AG10*3),0)</f>
        <v>0.065237499704638</v>
      </c>
      <c r="AH41" s="43" t="n">
        <f aca="false">IFERROR(AH20/(AH10*3),0)</f>
        <v>0.0667761254044032</v>
      </c>
    </row>
    <row r="42" customFormat="false" ht="13.5" hidden="false" customHeight="true" outlineLevel="0" collapsed="false">
      <c r="B42" s="4" t="s">
        <v>119</v>
      </c>
      <c r="C42" s="25" t="s">
        <v>82</v>
      </c>
      <c r="D42" s="44" t="n">
        <f aca="false">IFERROR(D31/Hypothèses!$C$31,0)</f>
        <v>0</v>
      </c>
      <c r="E42" s="44" t="n">
        <f aca="false">IFERROR(E31/Hypothèses!$C$31,0)</f>
        <v>0</v>
      </c>
      <c r="F42" s="44" t="n">
        <f aca="false">IFERROR(F31/Hypothèses!$C$31,0)</f>
        <v>0</v>
      </c>
      <c r="G42" s="44" t="n">
        <f aca="false">IFERROR(G31/Hypothèses!$C$31,0)</f>
        <v>0</v>
      </c>
      <c r="H42" s="44" t="n">
        <f aca="false">IFERROR(H31/Hypothèses!$C$31,0)</f>
        <v>0</v>
      </c>
      <c r="I42" s="44" t="n">
        <f aca="false">IFERROR(I31/Hypothèses!$C$31,0)</f>
        <v>0</v>
      </c>
      <c r="J42" s="44" t="n">
        <f aca="false">IFERROR(J31/Hypothèses!$C$31,0)</f>
        <v>0</v>
      </c>
      <c r="K42" s="44" t="n">
        <f aca="false">IFERROR(K31/Hypothèses!$C$31,0)</f>
        <v>0</v>
      </c>
      <c r="L42" s="44" t="n">
        <f aca="false">IFERROR(L31/Hypothèses!$C$31,0)</f>
        <v>0</v>
      </c>
      <c r="M42" s="44" t="n">
        <f aca="false">IFERROR(M31/Hypothèses!$C$31,0)</f>
        <v>0</v>
      </c>
      <c r="N42" s="44" t="n">
        <f aca="false">IFERROR(N31/Hypothèses!$C$31,0)</f>
        <v>0</v>
      </c>
      <c r="O42" s="44" t="n">
        <f aca="false">IFERROR(O31/Hypothèses!$C$31,0)</f>
        <v>0</v>
      </c>
      <c r="P42" s="44" t="n">
        <f aca="false">IFERROR(P31/Hypothèses!$C$31,0)</f>
        <v>0</v>
      </c>
      <c r="Q42" s="44" t="n">
        <f aca="false">IFERROR(Q31/Hypothèses!$C$31,0)</f>
        <v>0</v>
      </c>
      <c r="R42" s="44" t="n">
        <f aca="false">IFERROR(R31/Hypothèses!$C$31,0)</f>
        <v>0</v>
      </c>
      <c r="S42" s="44" t="n">
        <f aca="false">IFERROR(S31/Hypothèses!$C$31,0)</f>
        <v>0</v>
      </c>
      <c r="T42" s="44" t="n">
        <f aca="false">IFERROR(T31/Hypothèses!$C$31,0)</f>
        <v>0</v>
      </c>
      <c r="U42" s="44" t="n">
        <f aca="false">IFERROR(U31/Hypothèses!$C$31,0)</f>
        <v>0</v>
      </c>
      <c r="V42" s="44" t="n">
        <f aca="false">IFERROR(V31/Hypothèses!$C$31,0)</f>
        <v>0</v>
      </c>
      <c r="W42" s="44" t="n">
        <f aca="false">IFERROR(W31/Hypothèses!$C$31,0)</f>
        <v>0</v>
      </c>
      <c r="X42" s="44" t="n">
        <f aca="false">IFERROR(X31/Hypothèses!$C$31,0)</f>
        <v>0</v>
      </c>
      <c r="Y42" s="44" t="n">
        <f aca="false">IFERROR(Y31/Hypothèses!$C$31,0)</f>
        <v>0</v>
      </c>
      <c r="Z42" s="44" t="n">
        <f aca="false">IFERROR(Z31/Hypothèses!$C$31,0)</f>
        <v>0</v>
      </c>
      <c r="AA42" s="44" t="n">
        <f aca="false">IFERROR(AA31/Hypothèses!$C$31,0)</f>
        <v>0</v>
      </c>
      <c r="AB42" s="44" t="n">
        <f aca="false">IFERROR(AB31/Hypothèses!$C$31,0)</f>
        <v>0</v>
      </c>
      <c r="AC42" s="44" t="n">
        <f aca="false">IFERROR(AC31/Hypothèses!$C$31,0)</f>
        <v>0</v>
      </c>
      <c r="AD42" s="44" t="n">
        <f aca="false">IFERROR(AD31/Hypothèses!$C$31,0)</f>
        <v>0</v>
      </c>
      <c r="AE42" s="44" t="n">
        <f aca="false">IFERROR(AE31/Hypothèses!$C$31,0)</f>
        <v>0</v>
      </c>
      <c r="AF42" s="44" t="n">
        <f aca="false">IFERROR(AF31/Hypothèses!$C$31,0)</f>
        <v>0</v>
      </c>
      <c r="AG42" s="44" t="n">
        <f aca="false">IFERROR(AG31/Hypothèses!$C$31,0)</f>
        <v>0</v>
      </c>
      <c r="AH42" s="44" t="n">
        <f aca="false">IFERROR(AH31/Hypothèses!$C$31,0)</f>
        <v>0</v>
      </c>
    </row>
    <row r="43" customFormat="false" ht="13.5" hidden="false" customHeight="true" outlineLevel="0" collapsed="false">
      <c r="B43" s="4" t="s">
        <v>120</v>
      </c>
      <c r="C43" s="25"/>
      <c r="D43" s="45" t="str">
        <f aca="false">IF(AND(D40="✓ Convergence",D41&gt;=0.5,D42&lt;0.8),"🟢 VERT",IF(OR(D40="⚠ Déficit",D41&lt;0.3,D42&gt;=1),"🔴 ROUGE","🟡 ORANGE"))</f>
        <v>🔴 ROUGE</v>
      </c>
      <c r="E43" s="45" t="str">
        <f aca="false">IF(AND(E40="✓ Convergence",E41&gt;=0.5,E42&lt;0.8),"🟢 VERT",IF(OR(E40="⚠ Déficit",E41&lt;0.3,E42&gt;=1),"🔴 ROUGE","🟡 ORANGE"))</f>
        <v>🔴 ROUGE</v>
      </c>
      <c r="F43" s="45" t="str">
        <f aca="false">IF(AND(F40="✓ Convergence",F41&gt;=0.5,F42&lt;0.8),"🟢 VERT",IF(OR(F40="⚠ Déficit",F41&lt;0.3,F42&gt;=1),"🔴 ROUGE","🟡 ORANGE"))</f>
        <v>🔴 ROUGE</v>
      </c>
      <c r="G43" s="45" t="str">
        <f aca="false">IF(AND(G40="✓ Convergence",G41&gt;=0.5,G42&lt;0.8),"🟢 VERT",IF(OR(G40="⚠ Déficit",G41&lt;0.3,G42&gt;=1),"🔴 ROUGE","🟡 ORANGE"))</f>
        <v>🔴 ROUGE</v>
      </c>
      <c r="H43" s="45" t="str">
        <f aca="false">IF(AND(H40="✓ Convergence",H41&gt;=0.5,H42&lt;0.8),"🟢 VERT",IF(OR(H40="⚠ Déficit",H41&lt;0.3,H42&gt;=1),"🔴 ROUGE","🟡 ORANGE"))</f>
        <v>🔴 ROUGE</v>
      </c>
      <c r="I43" s="45" t="str">
        <f aca="false">IF(AND(I40="✓ Convergence",I41&gt;=0.5,I42&lt;0.8),"🟢 VERT",IF(OR(I40="⚠ Déficit",I41&lt;0.3,I42&gt;=1),"🔴 ROUGE","🟡 ORANGE"))</f>
        <v>🔴 ROUGE</v>
      </c>
      <c r="J43" s="45" t="str">
        <f aca="false">IF(AND(J40="✓ Convergence",J41&gt;=0.5,J42&lt;0.8),"🟢 VERT",IF(OR(J40="⚠ Déficit",J41&lt;0.3,J42&gt;=1),"🔴 ROUGE","🟡 ORANGE"))</f>
        <v>🔴 ROUGE</v>
      </c>
      <c r="K43" s="45" t="str">
        <f aca="false">IF(AND(K40="✓ Convergence",K41&gt;=0.5,K42&lt;0.8),"🟢 VERT",IF(OR(K40="⚠ Déficit",K41&lt;0.3,K42&gt;=1),"🔴 ROUGE","🟡 ORANGE"))</f>
        <v>🔴 ROUGE</v>
      </c>
      <c r="L43" s="45" t="str">
        <f aca="false">IF(AND(L40="✓ Convergence",L41&gt;=0.5,L42&lt;0.8),"🟢 VERT",IF(OR(L40="⚠ Déficit",L41&lt;0.3,L42&gt;=1),"🔴 ROUGE","🟡 ORANGE"))</f>
        <v>🔴 ROUGE</v>
      </c>
      <c r="M43" s="45" t="str">
        <f aca="false">IF(AND(M40="✓ Convergence",M41&gt;=0.5,M42&lt;0.8),"🟢 VERT",IF(OR(M40="⚠ Déficit",M41&lt;0.3,M42&gt;=1),"🔴 ROUGE","🟡 ORANGE"))</f>
        <v>🔴 ROUGE</v>
      </c>
      <c r="N43" s="45" t="str">
        <f aca="false">IF(AND(N40="✓ Convergence",N41&gt;=0.5,N42&lt;0.8),"🟢 VERT",IF(OR(N40="⚠ Déficit",N41&lt;0.3,N42&gt;=1),"🔴 ROUGE","🟡 ORANGE"))</f>
        <v>🔴 ROUGE</v>
      </c>
      <c r="O43" s="45" t="str">
        <f aca="false">IF(AND(O40="✓ Convergence",O41&gt;=0.5,O42&lt;0.8),"🟢 VERT",IF(OR(O40="⚠ Déficit",O41&lt;0.3,O42&gt;=1),"🔴 ROUGE","🟡 ORANGE"))</f>
        <v>🔴 ROUGE</v>
      </c>
      <c r="P43" s="45" t="str">
        <f aca="false">IF(AND(P40="✓ Convergence",P41&gt;=0.5,P42&lt;0.8),"🟢 VERT",IF(OR(P40="⚠ Déficit",P41&lt;0.3,P42&gt;=1),"🔴 ROUGE","🟡 ORANGE"))</f>
        <v>🔴 ROUGE</v>
      </c>
      <c r="Q43" s="45" t="str">
        <f aca="false">IF(AND(Q40="✓ Convergence",Q41&gt;=0.5,Q42&lt;0.8),"🟢 VERT",IF(OR(Q40="⚠ Déficit",Q41&lt;0.3,Q42&gt;=1),"🔴 ROUGE","🟡 ORANGE"))</f>
        <v>🔴 ROUGE</v>
      </c>
      <c r="R43" s="45" t="str">
        <f aca="false">IF(AND(R40="✓ Convergence",R41&gt;=0.5,R42&lt;0.8),"🟢 VERT",IF(OR(R40="⚠ Déficit",R41&lt;0.3,R42&gt;=1),"🔴 ROUGE","🟡 ORANGE"))</f>
        <v>🔴 ROUGE</v>
      </c>
      <c r="S43" s="45" t="str">
        <f aca="false">IF(AND(S40="✓ Convergence",S41&gt;=0.5,S42&lt;0.8),"🟢 VERT",IF(OR(S40="⚠ Déficit",S41&lt;0.3,S42&gt;=1),"🔴 ROUGE","🟡 ORANGE"))</f>
        <v>🔴 ROUGE</v>
      </c>
      <c r="T43" s="45" t="str">
        <f aca="false">IF(AND(T40="✓ Convergence",T41&gt;=0.5,T42&lt;0.8),"🟢 VERT",IF(OR(T40="⚠ Déficit",T41&lt;0.3,T42&gt;=1),"🔴 ROUGE","🟡 ORANGE"))</f>
        <v>🔴 ROUGE</v>
      </c>
      <c r="U43" s="45" t="str">
        <f aca="false">IF(AND(U40="✓ Convergence",U41&gt;=0.5,U42&lt;0.8),"🟢 VERT",IF(OR(U40="⚠ Déficit",U41&lt;0.3,U42&gt;=1),"🔴 ROUGE","🟡 ORANGE"))</f>
        <v>🔴 ROUGE</v>
      </c>
      <c r="V43" s="45" t="str">
        <f aca="false">IF(AND(V40="✓ Convergence",V41&gt;=0.5,V42&lt;0.8),"🟢 VERT",IF(OR(V40="⚠ Déficit",V41&lt;0.3,V42&gt;=1),"🔴 ROUGE","🟡 ORANGE"))</f>
        <v>🔴 ROUGE</v>
      </c>
      <c r="W43" s="45" t="str">
        <f aca="false">IF(AND(W40="✓ Convergence",W41&gt;=0.5,W42&lt;0.8),"🟢 VERT",IF(OR(W40="⚠ Déficit",W41&lt;0.3,W42&gt;=1),"🔴 ROUGE","🟡 ORANGE"))</f>
        <v>🔴 ROUGE</v>
      </c>
      <c r="X43" s="45" t="str">
        <f aca="false">IF(AND(X40="✓ Convergence",X41&gt;=0.5,X42&lt;0.8),"🟢 VERT",IF(OR(X40="⚠ Déficit",X41&lt;0.3,X42&gt;=1),"🔴 ROUGE","🟡 ORANGE"))</f>
        <v>🔴 ROUGE</v>
      </c>
      <c r="Y43" s="45" t="str">
        <f aca="false">IF(AND(Y40="✓ Convergence",Y41&gt;=0.5,Y42&lt;0.8),"🟢 VERT",IF(OR(Y40="⚠ Déficit",Y41&lt;0.3,Y42&gt;=1),"🔴 ROUGE","🟡 ORANGE"))</f>
        <v>🔴 ROUGE</v>
      </c>
      <c r="Z43" s="45" t="str">
        <f aca="false">IF(AND(Z40="✓ Convergence",Z41&gt;=0.5,Z42&lt;0.8),"🟢 VERT",IF(OR(Z40="⚠ Déficit",Z41&lt;0.3,Z42&gt;=1),"🔴 ROUGE","🟡 ORANGE"))</f>
        <v>🔴 ROUGE</v>
      </c>
      <c r="AA43" s="45" t="str">
        <f aca="false">IF(AND(AA40="✓ Convergence",AA41&gt;=0.5,AA42&lt;0.8),"🟢 VERT",IF(OR(AA40="⚠ Déficit",AA41&lt;0.3,AA42&gt;=1),"🔴 ROUGE","🟡 ORANGE"))</f>
        <v>🔴 ROUGE</v>
      </c>
      <c r="AB43" s="45" t="str">
        <f aca="false">IF(AND(AB40="✓ Convergence",AB41&gt;=0.5,AB42&lt;0.8),"🟢 VERT",IF(OR(AB40="⚠ Déficit",AB41&lt;0.3,AB42&gt;=1),"🔴 ROUGE","🟡 ORANGE"))</f>
        <v>🔴 ROUGE</v>
      </c>
      <c r="AC43" s="45" t="str">
        <f aca="false">IF(AND(AC40="✓ Convergence",AC41&gt;=0.5,AC42&lt;0.8),"🟢 VERT",IF(OR(AC40="⚠ Déficit",AC41&lt;0.3,AC42&gt;=1),"🔴 ROUGE","🟡 ORANGE"))</f>
        <v>🔴 ROUGE</v>
      </c>
      <c r="AD43" s="45" t="str">
        <f aca="false">IF(AND(AD40="✓ Convergence",AD41&gt;=0.5,AD42&lt;0.8),"🟢 VERT",IF(OR(AD40="⚠ Déficit",AD41&lt;0.3,AD42&gt;=1),"🔴 ROUGE","🟡 ORANGE"))</f>
        <v>🔴 ROUGE</v>
      </c>
      <c r="AE43" s="45" t="str">
        <f aca="false">IF(AND(AE40="✓ Convergence",AE41&gt;=0.5,AE42&lt;0.8),"🟢 VERT",IF(OR(AE40="⚠ Déficit",AE41&lt;0.3,AE42&gt;=1),"🔴 ROUGE","🟡 ORANGE"))</f>
        <v>🔴 ROUGE</v>
      </c>
      <c r="AF43" s="45" t="str">
        <f aca="false">IF(AND(AF40="✓ Convergence",AF41&gt;=0.5,AF42&lt;0.8),"🟢 VERT",IF(OR(AF40="⚠ Déficit",AF41&lt;0.3,AF42&gt;=1),"🔴 ROUGE","🟡 ORANGE"))</f>
        <v>🔴 ROUGE</v>
      </c>
      <c r="AG43" s="45" t="str">
        <f aca="false">IF(AND(AG40="✓ Convergence",AG41&gt;=0.5,AG42&lt;0.8),"🟢 VERT",IF(OR(AG40="⚠ Déficit",AG41&lt;0.3,AG42&gt;=1),"🔴 ROUGE","🟡 ORANGE"))</f>
        <v>🔴 ROUGE</v>
      </c>
      <c r="AH43" s="45" t="str">
        <f aca="false">IF(AND(AH40="✓ Convergence",AH41&gt;=0.5,AH42&lt;0.8),"🟢 VERT",IF(OR(AH40="⚠ Déficit",AH41&lt;0.3,AH42&gt;=1),"🔴 ROUGE","🟡 ORANGE"))</f>
        <v>🔴 ROUGE</v>
      </c>
    </row>
    <row r="44" customFormat="false" ht="15.75" hidden="false" customHeight="true" outlineLevel="0" collapsed="false">
      <c r="B44" s="3" t="s">
        <v>121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customFormat="false" ht="13.5" hidden="false" customHeight="true" outlineLevel="0" collapsed="false">
      <c r="B45" s="4" t="s">
        <v>122</v>
      </c>
      <c r="C45" s="25" t="s">
        <v>78</v>
      </c>
      <c r="D45" s="46" t="n">
        <f aca="false">D11-D10*IFERROR((D8/D7),1)</f>
        <v>-14.5</v>
      </c>
      <c r="E45" s="46" t="n">
        <f aca="false">E11-E10*IFERROR((E8/E7),1)</f>
        <v>68.541130279245</v>
      </c>
      <c r="F45" s="46" t="n">
        <f aca="false">F11-F10*IFERROR((F8/F7),1)</f>
        <v>70.6701240259069</v>
      </c>
      <c r="G45" s="46" t="n">
        <f aca="false">G11-G10*IFERROR((G8/G7),1)</f>
        <v>72.8875625979056</v>
      </c>
      <c r="H45" s="46" t="n">
        <f aca="false">H11-H10*IFERROR((H8/H7),1)</f>
        <v>75.1969129605361</v>
      </c>
      <c r="I45" s="46" t="n">
        <f aca="false">I11-I10*IFERROR((I8/I7),1)</f>
        <v>77.601772513448</v>
      </c>
      <c r="J45" s="46" t="n">
        <f aca="false">J11-J10*IFERROR((J8/J7),1)</f>
        <v>80.1058741197464</v>
      </c>
      <c r="K45" s="46" t="n">
        <f aca="false">K11-K10*IFERROR((K8/K7),1)</f>
        <v>82.713091346905</v>
      </c>
      <c r="L45" s="46" t="n">
        <f aca="false">L11-L10*IFERROR((L8/L7),1)</f>
        <v>85.4274439297312</v>
      </c>
      <c r="M45" s="46" t="n">
        <f aca="false">M11-M10*IFERROR((M8/M7),1)</f>
        <v>88.2531034662031</v>
      </c>
      <c r="N45" s="46" t="n">
        <f aca="false">N11-N10*IFERROR((N8/N7),1)</f>
        <v>91.1943993576218</v>
      </c>
      <c r="O45" s="46" t="n">
        <f aca="false">O11-O10*IFERROR((O8/O7),1)</f>
        <v>94.2558250051783</v>
      </c>
      <c r="P45" s="46" t="n">
        <f aca="false">P11-P10*IFERROR((P8/P7),1)</f>
        <v>97.4420442757513</v>
      </c>
      <c r="Q45" s="46" t="n">
        <f aca="false">Q11-Q10*IFERROR((Q8/Q7),1)</f>
        <v>100.757898250497</v>
      </c>
      <c r="R45" s="46" t="n">
        <f aca="false">R11-R10*IFERROR((R8/R7),1)</f>
        <v>104.208412270607</v>
      </c>
      <c r="S45" s="46" t="n">
        <f aca="false">S11-S10*IFERROR((S8/S7),1)</f>
        <v>107.798803295482</v>
      </c>
      <c r="T45" s="46" t="n">
        <f aca="false">T11-T10*IFERROR((T8/T7),1)</f>
        <v>109.810031588877</v>
      </c>
      <c r="U45" s="46" t="n">
        <f aca="false">U11-U10*IFERROR((U8/U7),1)</f>
        <v>111.885946187932</v>
      </c>
      <c r="V45" s="46" t="n">
        <f aca="false">V11-V10*IFERROR((V8/V7),1)</f>
        <v>114.028849086573</v>
      </c>
      <c r="W45" s="46" t="n">
        <f aca="false">W11-W10*IFERROR((W8/W7),1)</f>
        <v>116.24112112912</v>
      </c>
      <c r="X45" s="46" t="n">
        <f aca="false">X11-X10*IFERROR((X8/X7),1)</f>
        <v>118.525224639057</v>
      </c>
      <c r="Y45" s="46" t="n">
        <f aca="false">Y11-Y10*IFERROR((Y8/Y7),1)</f>
        <v>120.883706136376</v>
      </c>
      <c r="Z45" s="46" t="n">
        <f aca="false">Z11-Z10*IFERROR((Z8/Z7),1)</f>
        <v>123.319199146637</v>
      </c>
      <c r="AA45" s="46" t="n">
        <f aca="false">AA11-AA10*IFERROR((AA8/AA7),1)</f>
        <v>125.834427104996</v>
      </c>
      <c r="AB45" s="46" t="n">
        <f aca="false">AB11-AB10*IFERROR((AB8/AB7),1)</f>
        <v>128.432206358598</v>
      </c>
      <c r="AC45" s="46" t="n">
        <f aca="false">AC11-AC10*IFERROR((AC8/AC7),1)</f>
        <v>131.115449270849</v>
      </c>
      <c r="AD45" s="46" t="n">
        <f aca="false">AD11-AD10*IFERROR((AD8/AD7),1)</f>
        <v>131.215246047311</v>
      </c>
      <c r="AE45" s="46" t="n">
        <f aca="false">AE11-AE10*IFERROR((AE8/AE7),1)</f>
        <v>131.289724860938</v>
      </c>
      <c r="AF45" s="46" t="n">
        <f aca="false">AF11-AF10*IFERROR((AF8/AF7),1)</f>
        <v>131.338141188439</v>
      </c>
      <c r="AG45" s="46" t="n">
        <f aca="false">AG11-AG10*IFERROR((AG8/AG7),1)</f>
        <v>131.359734947088</v>
      </c>
      <c r="AH45" s="46" t="n">
        <f aca="false">AH11-AH10*IFERROR((AH8/AH7),1)</f>
        <v>131.353730224577</v>
      </c>
    </row>
    <row r="46" customFormat="false" ht="13.5" hidden="false" customHeight="true" outlineLevel="0" collapsed="false">
      <c r="B46" s="4" t="s">
        <v>123</v>
      </c>
      <c r="C46" s="25" t="s">
        <v>78</v>
      </c>
      <c r="D46" s="35" t="n">
        <f aca="false">Hypothèses!$C$12</f>
        <v>330.5</v>
      </c>
      <c r="E46" s="35" t="n">
        <f aca="false">E5*Hypothèses!$C$13*(1-Hypothèses!$C$14*1.5)</f>
        <v>402.5599490486</v>
      </c>
      <c r="F46" s="35" t="n">
        <f aca="false">F5*Hypothèses!$C$13*(1-Hypothèses!$C$14*1.5)</f>
        <v>407.998533960247</v>
      </c>
      <c r="G46" s="35" t="n">
        <f aca="false">G5*Hypothèses!$C$13*(1-Hypothèses!$C$14*1.5)</f>
        <v>413.510594154049</v>
      </c>
      <c r="H46" s="35" t="n">
        <f aca="false">H5*Hypothèses!$C$13*(1-Hypothèses!$C$14*1.5)</f>
        <v>419.097122281071</v>
      </c>
      <c r="I46" s="35" t="n">
        <f aca="false">I5*Hypothèses!$C$13*(1-Hypothèses!$C$14*1.5)</f>
        <v>424.759124403088</v>
      </c>
      <c r="J46" s="35" t="n">
        <f aca="false">J5*Hypothèses!$C$13*(1-Hypothèses!$C$14*1.5)</f>
        <v>430.497620173774</v>
      </c>
      <c r="K46" s="35" t="n">
        <f aca="false">K5*Hypothèses!$C$13*(1-Hypothèses!$C$14*1.5)</f>
        <v>436.313643022321</v>
      </c>
      <c r="L46" s="35" t="n">
        <f aca="false">L5*Hypothèses!$C$13*(1-Hypothèses!$C$14*1.5)</f>
        <v>442.208240339553</v>
      </c>
      <c r="M46" s="35" t="n">
        <f aca="false">M5*Hypothèses!$C$13*(1-Hypothèses!$C$14*1.5)</f>
        <v>448.18247366654</v>
      </c>
      <c r="N46" s="35" t="n">
        <f aca="false">N5*Hypothèses!$C$13*(1-Hypothèses!$C$14*1.5)</f>
        <v>454.237418885775</v>
      </c>
      <c r="O46" s="35" t="n">
        <f aca="false">O5*Hypothèses!$C$13*(1-Hypothèses!$C$14*1.5)</f>
        <v>460.374166414922</v>
      </c>
      <c r="P46" s="35" t="n">
        <f aca="false">P5*Hypothèses!$C$13*(1-Hypothèses!$C$14*1.5)</f>
        <v>466.593821403187</v>
      </c>
      <c r="Q46" s="35" t="n">
        <f aca="false">Q5*Hypothèses!$C$13*(1-Hypothèses!$C$14*1.5)</f>
        <v>472.897503930344</v>
      </c>
      <c r="R46" s="35" t="n">
        <f aca="false">R5*Hypothèses!$C$13*(1-Hypothèses!$C$14*1.5)</f>
        <v>479.286349208443</v>
      </c>
      <c r="S46" s="35" t="n">
        <f aca="false">S5*Hypothèses!$C$13*(1-Hypothèses!$C$14*1.5)</f>
        <v>485.761507786249</v>
      </c>
      <c r="T46" s="35" t="n">
        <f aca="false">T5*Hypothèses!$C$13*(1-Hypothèses!$C$14*1.5)</f>
        <v>492.324145756441</v>
      </c>
      <c r="U46" s="35" t="n">
        <f aca="false">U5*Hypothèses!$C$13*(1-Hypothèses!$C$14*1.5)</f>
        <v>498.975444965611</v>
      </c>
      <c r="V46" s="35" t="n">
        <f aca="false">V5*Hypothèses!$C$13*(1-Hypothèses!$C$14*1.5)</f>
        <v>505.716603227096</v>
      </c>
      <c r="W46" s="35" t="n">
        <f aca="false">W5*Hypothèses!$C$13*(1-Hypothèses!$C$14*1.5)</f>
        <v>512.548834536694</v>
      </c>
      <c r="X46" s="35" t="n">
        <f aca="false">X5*Hypothèses!$C$13*(1-Hypothèses!$C$14*1.5)</f>
        <v>519.473369291285</v>
      </c>
      <c r="Y46" s="35" t="n">
        <f aca="false">Y5*Hypothèses!$C$13*(1-Hypothèses!$C$14*1.5)</f>
        <v>526.49145451041</v>
      </c>
      <c r="Z46" s="35" t="n">
        <f aca="false">Z5*Hypothèses!$C$13*(1-Hypothèses!$C$14*1.5)</f>
        <v>533.604354060846</v>
      </c>
      <c r="AA46" s="35" t="n">
        <f aca="false">AA5*Hypothèses!$C$13*(1-Hypothèses!$C$14*1.5)</f>
        <v>540.813348884208</v>
      </c>
      <c r="AB46" s="35" t="n">
        <f aca="false">AB5*Hypothèses!$C$13*(1-Hypothèses!$C$14*1.5)</f>
        <v>548.119737227633</v>
      </c>
      <c r="AC46" s="35" t="n">
        <f aca="false">AC5*Hypothèses!$C$13*(1-Hypothèses!$C$14*1.5)</f>
        <v>555.524834877579</v>
      </c>
      <c r="AD46" s="35" t="n">
        <f aca="false">AD5*Hypothèses!$C$13*(1-Hypothèses!$C$14*1.5)</f>
        <v>563.029975396775</v>
      </c>
      <c r="AE46" s="35" t="n">
        <f aca="false">AE5*Hypothèses!$C$13*(1-Hypothèses!$C$14*1.5)</f>
        <v>570.636510364385</v>
      </c>
      <c r="AF46" s="35" t="n">
        <f aca="false">AF5*Hypothèses!$C$13*(1-Hypothèses!$C$14*1.5)</f>
        <v>578.345809619408</v>
      </c>
      <c r="AG46" s="35" t="n">
        <f aca="false">AG5*Hypothèses!$C$13*(1-Hypothèses!$C$14*1.5)</f>
        <v>586.159261507366</v>
      </c>
      <c r="AH46" s="35" t="n">
        <f aca="false">AH5*Hypothèses!$C$13*(1-Hypothèses!$C$14*1.5)</f>
        <v>594.07827313033</v>
      </c>
    </row>
    <row r="47" customFormat="false" ht="13.5" hidden="false" customHeight="true" outlineLevel="0" collapsed="false">
      <c r="B47" s="4" t="s">
        <v>124</v>
      </c>
      <c r="C47" s="25" t="s">
        <v>78</v>
      </c>
      <c r="D47" s="47" t="n">
        <f aca="false">D46-D10</f>
        <v>-14.5</v>
      </c>
      <c r="E47" s="47" t="n">
        <f aca="false">E46-E10</f>
        <v>52.3835961074235</v>
      </c>
      <c r="F47" s="47" t="n">
        <f aca="false">F46-F10</f>
        <v>52.5792243987493</v>
      </c>
      <c r="G47" s="47" t="n">
        <f aca="false">G46-G10</f>
        <v>52.7812351469123</v>
      </c>
      <c r="H47" s="47" t="n">
        <f aca="false">H46-H10</f>
        <v>52.9901432713854</v>
      </c>
      <c r="I47" s="47" t="n">
        <f aca="false">I46-I10</f>
        <v>53.2064893574448</v>
      </c>
      <c r="J47" s="47" t="n">
        <f aca="false">J46-J10</f>
        <v>53.4308407157797</v>
      </c>
      <c r="K47" s="47" t="n">
        <f aca="false">K46-K10</f>
        <v>53.6637924841221</v>
      </c>
      <c r="L47" s="47" t="n">
        <f aca="false">L46-L10</f>
        <v>53.9059687726567</v>
      </c>
      <c r="M47" s="47" t="n">
        <f aca="false">M46-M10</f>
        <v>54.1580238550473</v>
      </c>
      <c r="N47" s="47" t="n">
        <f aca="false">N46-N10</f>
        <v>54.4206434070111</v>
      </c>
      <c r="O47" s="47" t="n">
        <f aca="false">O46-O10</f>
        <v>54.6945457944565</v>
      </c>
      <c r="P47" s="47" t="n">
        <f aca="false">P46-P10</f>
        <v>54.9804834133035</v>
      </c>
      <c r="Q47" s="47" t="n">
        <f aca="false">Q46-Q10</f>
        <v>55.2792440832055</v>
      </c>
      <c r="R47" s="47" t="n">
        <f aca="false">R46-R10</f>
        <v>55.5916524975024</v>
      </c>
      <c r="S47" s="47" t="n">
        <f aca="false">S46-S10</f>
        <v>55.9185717318466</v>
      </c>
      <c r="T47" s="47" t="n">
        <f aca="false">T46-T10</f>
        <v>55.4822204552436</v>
      </c>
      <c r="U47" s="47" t="n">
        <f aca="false">U46-U10</f>
        <v>55.0269330619261</v>
      </c>
      <c r="V47" s="47" t="n">
        <f aca="false">V46-V10</f>
        <v>54.5524322215806</v>
      </c>
      <c r="W47" s="47" t="n">
        <f aca="false">W46-W10</f>
        <v>54.0584420876419</v>
      </c>
      <c r="X47" s="47" t="n">
        <f aca="false">X46-X10</f>
        <v>53.5446885680048</v>
      </c>
      <c r="Y47" s="47" t="n">
        <f aca="false">Y46-Y10</f>
        <v>53.0108996086124</v>
      </c>
      <c r="Z47" s="47" t="n">
        <f aca="false">Z46-Z10</f>
        <v>52.4568054904179</v>
      </c>
      <c r="AA47" s="47" t="n">
        <f aca="false">AA46-AA10</f>
        <v>51.8821391402306</v>
      </c>
      <c r="AB47" s="47" t="n">
        <f aca="false">AB46-AB10</f>
        <v>51.2866364559833</v>
      </c>
      <c r="AC47" s="47" t="n">
        <f aca="false">AC46-AC10</f>
        <v>50.6700366469711</v>
      </c>
      <c r="AD47" s="47" t="n">
        <f aca="false">AD46-AD10</f>
        <v>48.9452226472483</v>
      </c>
      <c r="AE47" s="47" t="n">
        <f aca="false">AE46-AE10</f>
        <v>47.1535777520054</v>
      </c>
      <c r="AF47" s="47" t="n">
        <f aca="false">AF46-AF10</f>
        <v>45.2934167593791</v>
      </c>
      <c r="AG47" s="47" t="n">
        <f aca="false">AG46-AG10</f>
        <v>43.3630177291949</v>
      </c>
      <c r="AH47" s="47" t="n">
        <f aca="false">AH46-AH10</f>
        <v>41.3606212390782</v>
      </c>
    </row>
    <row r="48" customFormat="false" ht="13.5" hidden="false" customHeight="true" outlineLevel="0" collapsed="false">
      <c r="B48" s="4" t="s">
        <v>125</v>
      </c>
      <c r="C48" s="25" t="s">
        <v>78</v>
      </c>
      <c r="D48" s="35" t="n">
        <f aca="false">D18+D22</f>
        <v>26.2</v>
      </c>
      <c r="E48" s="35" t="n">
        <f aca="false">E18+E22</f>
        <v>26.6317425</v>
      </c>
      <c r="F48" s="35" t="n">
        <f aca="false">F18+F22</f>
        <v>27.244564395</v>
      </c>
      <c r="G48" s="35" t="n">
        <f aca="false">G18+G22</f>
        <v>28.04094829653</v>
      </c>
      <c r="H48" s="35" t="n">
        <f aca="false">H18+H22</f>
        <v>28.8484815726814</v>
      </c>
      <c r="I48" s="35" t="n">
        <f aca="false">I18+I22</f>
        <v>29.667320314699</v>
      </c>
      <c r="J48" s="35" t="n">
        <f aca="false">J18+J22</f>
        <v>30.4976227991047</v>
      </c>
      <c r="K48" s="35" t="n">
        <f aca="false">K18+K22</f>
        <v>31.3395495182922</v>
      </c>
      <c r="L48" s="35" t="n">
        <f aca="false">L18+L22</f>
        <v>32.1932632115483</v>
      </c>
      <c r="M48" s="35" t="n">
        <f aca="false">M18+M22</f>
        <v>33.05892889651</v>
      </c>
      <c r="N48" s="35" t="n">
        <f aca="false">N18+N22</f>
        <v>33.9367139010611</v>
      </c>
      <c r="O48" s="35" t="n">
        <f aca="false">O18+O22</f>
        <v>34.826787895676</v>
      </c>
      <c r="P48" s="35" t="n">
        <f aca="false">P18+P22</f>
        <v>35.7293229262154</v>
      </c>
      <c r="Q48" s="35" t="n">
        <f aca="false">Q18+Q22</f>
        <v>36.6444934471824</v>
      </c>
      <c r="R48" s="35" t="n">
        <f aca="false">R18+R22</f>
        <v>37.572476355443</v>
      </c>
      <c r="S48" s="35" t="n">
        <f aca="false">S18+S22</f>
        <v>38.5134510244192</v>
      </c>
      <c r="T48" s="35" t="n">
        <f aca="false">T18+T22</f>
        <v>39.4675993387611</v>
      </c>
      <c r="U48" s="35" t="n">
        <f aca="false">U18+U22</f>
        <v>40.4351057295037</v>
      </c>
      <c r="V48" s="35" t="n">
        <f aca="false">V18+V22</f>
        <v>41.4161572097168</v>
      </c>
      <c r="W48" s="35" t="n">
        <f aca="false">W18+W22</f>
        <v>42.4109434106528</v>
      </c>
      <c r="X48" s="35" t="n">
        <f aca="false">X18+X22</f>
        <v>43.4196566184019</v>
      </c>
      <c r="Y48" s="35" t="n">
        <f aca="false">Y18+Y22</f>
        <v>44.4424918110596</v>
      </c>
      <c r="Z48" s="35" t="n">
        <f aca="false">Z18+Z22</f>
        <v>45.4796466964144</v>
      </c>
      <c r="AA48" s="35" t="n">
        <f aca="false">AA18+AA22</f>
        <v>46.5313217501642</v>
      </c>
      <c r="AB48" s="35" t="n">
        <f aca="false">AB18+AB22</f>
        <v>47.5977202546665</v>
      </c>
      <c r="AC48" s="35" t="n">
        <f aca="false">AC18+AC22</f>
        <v>48.6790483382318</v>
      </c>
      <c r="AD48" s="35" t="n">
        <f aca="false">AD18+AD22</f>
        <v>49.7755150149671</v>
      </c>
      <c r="AE48" s="35" t="n">
        <f aca="false">AE18+AE22</f>
        <v>50.8873322251766</v>
      </c>
      <c r="AF48" s="35" t="n">
        <f aca="false">AF18+AF22</f>
        <v>52.0147148763291</v>
      </c>
      <c r="AG48" s="35" t="n">
        <f aca="false">AG18+AG22</f>
        <v>53.1578808845977</v>
      </c>
      <c r="AH48" s="35" t="n">
        <f aca="false">AH18+AH22</f>
        <v>54.317051216982</v>
      </c>
    </row>
    <row r="49" customFormat="false" ht="13.5" hidden="false" customHeight="true" outlineLevel="0" collapsed="false">
      <c r="B49" s="4" t="s">
        <v>126</v>
      </c>
      <c r="C49" s="25" t="s">
        <v>78</v>
      </c>
      <c r="D49" s="35" t="n">
        <f aca="false">D4</f>
        <v>2900</v>
      </c>
      <c r="E49" s="35" t="n">
        <f aca="false">D49*(1+Hypothèses!$C$6+0.003)</f>
        <v>2929</v>
      </c>
      <c r="F49" s="35" t="n">
        <f aca="false">E49*(1+Hypothèses!$C$6+0.003)</f>
        <v>2958.29</v>
      </c>
      <c r="G49" s="35" t="n">
        <f aca="false">F49*(1+Hypothèses!$C$6+0.003)</f>
        <v>2987.8729</v>
      </c>
      <c r="H49" s="35" t="n">
        <f aca="false">G49*(1+Hypothèses!$C$6+0.003)</f>
        <v>3017.751629</v>
      </c>
      <c r="I49" s="35" t="n">
        <f aca="false">H49*(1-0.015)</f>
        <v>2972.485354565</v>
      </c>
      <c r="J49" s="35" t="n">
        <f aca="false">I49*(1-0.015)</f>
        <v>2927.89807424652</v>
      </c>
      <c r="K49" s="35" t="n">
        <f aca="false">J49*(1-0.015)</f>
        <v>2883.97960313283</v>
      </c>
      <c r="L49" s="35" t="n">
        <f aca="false">K49*(1+Hypothèses!$C$6+0.003)</f>
        <v>2912.81939916415</v>
      </c>
      <c r="M49" s="35" t="n">
        <f aca="false">L49*(1+Hypothèses!$C$6+0.003)</f>
        <v>2941.94759315579</v>
      </c>
      <c r="N49" s="35" t="n">
        <f aca="false">M49*(1+Hypothèses!$C$6+0.003)</f>
        <v>2971.36706908735</v>
      </c>
      <c r="O49" s="35" t="n">
        <f aca="false">N49*(1+Hypothèses!$C$6+0.003)</f>
        <v>3001.08073977822</v>
      </c>
      <c r="P49" s="35" t="n">
        <f aca="false">O49*(1+Hypothèses!$C$6+0.003)</f>
        <v>3031.09154717601</v>
      </c>
      <c r="Q49" s="35" t="n">
        <f aca="false">P49*(1+Hypothèses!$C$6+0.003)</f>
        <v>3061.40246264777</v>
      </c>
      <c r="R49" s="35" t="n">
        <f aca="false">Q49*(1+Hypothèses!$C$6+0.003)</f>
        <v>3092.01648727424</v>
      </c>
      <c r="S49" s="35" t="n">
        <f aca="false">R49*(1+Hypothèses!$C$6+0.003)</f>
        <v>3122.93665214698</v>
      </c>
      <c r="T49" s="35" t="n">
        <f aca="false">S49*(1+Hypothèses!$C$6+0.003)</f>
        <v>3154.16601866845</v>
      </c>
      <c r="U49" s="35" t="n">
        <f aca="false">T49*(1+Hypothèses!$C$6+0.003)</f>
        <v>3185.70767885514</v>
      </c>
      <c r="V49" s="35" t="n">
        <f aca="false">U49*(1+Hypothèses!$C$6+0.003)</f>
        <v>3217.56475564369</v>
      </c>
      <c r="W49" s="35" t="n">
        <f aca="false">V49*(1+Hypothèses!$C$6+0.003)</f>
        <v>3249.74040320012</v>
      </c>
      <c r="X49" s="35" t="n">
        <f aca="false">W49*(1+Hypothèses!$C$6+0.003)</f>
        <v>3282.23780723212</v>
      </c>
      <c r="Y49" s="35" t="n">
        <f aca="false">X49*(1+Hypothèses!$C$6+0.003)</f>
        <v>3315.06018530445</v>
      </c>
      <c r="Z49" s="35" t="n">
        <f aca="false">Y49*(1+Hypothèses!$C$6+0.003)</f>
        <v>3348.21078715749</v>
      </c>
      <c r="AA49" s="35" t="n">
        <f aca="false">Z49*(1+Hypothèses!$C$6+0.003)</f>
        <v>3381.69289502906</v>
      </c>
      <c r="AB49" s="35" t="n">
        <f aca="false">AA49*(1+Hypothèses!$C$6+0.003)</f>
        <v>3415.50982397935</v>
      </c>
      <c r="AC49" s="35" t="n">
        <f aca="false">AB49*(1+Hypothèses!$C$6+0.003)</f>
        <v>3449.66492221915</v>
      </c>
      <c r="AD49" s="35" t="n">
        <f aca="false">AC49*(1+Hypothèses!$C$6+0.003)</f>
        <v>3484.16157144134</v>
      </c>
      <c r="AE49" s="35" t="n">
        <f aca="false">AD49*(1+Hypothèses!$C$6+0.003)</f>
        <v>3519.00318715575</v>
      </c>
      <c r="AF49" s="35" t="n">
        <f aca="false">AE49*(1+Hypothèses!$C$6+0.003)</f>
        <v>3554.19321902731</v>
      </c>
      <c r="AG49" s="35" t="n">
        <f aca="false">AF49*(1+Hypothèses!$C$6+0.003)</f>
        <v>3589.73515121758</v>
      </c>
      <c r="AH49" s="35" t="n">
        <f aca="false">AG49*(1+Hypothèses!$C$6+0.003)</f>
        <v>3625.63250272975</v>
      </c>
    </row>
    <row r="50" customFormat="false" ht="13.5" hidden="false" customHeight="true" outlineLevel="0" collapsed="false">
      <c r="B50" s="4" t="s">
        <v>127</v>
      </c>
      <c r="C50" s="25" t="s">
        <v>78</v>
      </c>
      <c r="D50" s="35" t="n">
        <f aca="false">D49*Hypothèses!$C$9*Hypothèses!$C$13*(1-Hypothèses!$C$14)</f>
        <v>411.49724</v>
      </c>
      <c r="E50" s="35" t="n">
        <f aca="false">E49*Hypothèses!$C$9*Hypothèses!$C$13*(1-Hypothèses!$C$14)</f>
        <v>415.6122124</v>
      </c>
      <c r="F50" s="35" t="n">
        <f aca="false">F49*Hypothèses!$C$9*Hypothèses!$C$13*(1-Hypothèses!$C$14)</f>
        <v>419.768334524</v>
      </c>
      <c r="G50" s="35" t="n">
        <f aca="false">G49*Hypothèses!$C$9*Hypothèses!$C$13*(1-Hypothèses!$C$14)</f>
        <v>423.96601786924</v>
      </c>
      <c r="H50" s="35" t="n">
        <f aca="false">H49*Hypothèses!$C$9*Hypothèses!$C$13*(1-Hypothèses!$C$14)</f>
        <v>428.205678047932</v>
      </c>
      <c r="I50" s="35" t="n">
        <f aca="false">I49*Hypothèses!$C$9*Hypothèses!$C$13*(1-Hypothèses!$C$14)</f>
        <v>421.782592877213</v>
      </c>
      <c r="J50" s="35" t="n">
        <f aca="false">J49*Hypothèses!$C$9*Hypothèses!$C$13*(1-Hypothèses!$C$14)</f>
        <v>415.455853984055</v>
      </c>
      <c r="K50" s="35" t="n">
        <f aca="false">K49*Hypothèses!$C$9*Hypothèses!$C$13*(1-Hypothèses!$C$14)</f>
        <v>409.224016174294</v>
      </c>
      <c r="L50" s="35" t="n">
        <f aca="false">L49*Hypothèses!$C$9*Hypothèses!$C$13*(1-Hypothèses!$C$14)</f>
        <v>413.316256336037</v>
      </c>
      <c r="M50" s="35" t="n">
        <f aca="false">M49*Hypothèses!$C$9*Hypothèses!$C$13*(1-Hypothèses!$C$14)</f>
        <v>417.449418899397</v>
      </c>
      <c r="N50" s="35" t="n">
        <f aca="false">N49*Hypothèses!$C$9*Hypothèses!$C$13*(1-Hypothèses!$C$14)</f>
        <v>421.623913088391</v>
      </c>
      <c r="O50" s="35" t="n">
        <f aca="false">O49*Hypothèses!$C$9*Hypothèses!$C$13*(1-Hypothèses!$C$14)</f>
        <v>425.840152219275</v>
      </c>
      <c r="P50" s="35" t="n">
        <f aca="false">P49*Hypothèses!$C$9*Hypothèses!$C$13*(1-Hypothèses!$C$14)</f>
        <v>430.098553741468</v>
      </c>
      <c r="Q50" s="35" t="n">
        <f aca="false">Q49*Hypothèses!$C$9*Hypothèses!$C$13*(1-Hypothèses!$C$14)</f>
        <v>434.399539278882</v>
      </c>
      <c r="R50" s="35" t="n">
        <f aca="false">R49*Hypothèses!$C$9*Hypothèses!$C$13*(1-Hypothèses!$C$14)</f>
        <v>438.743534671671</v>
      </c>
      <c r="S50" s="35" t="n">
        <f aca="false">S49*Hypothèses!$C$9*Hypothèses!$C$13*(1-Hypothèses!$C$14)</f>
        <v>443.130970018388</v>
      </c>
      <c r="T50" s="35" t="n">
        <f aca="false">T49*Hypothèses!$C$9*Hypothèses!$C$13*(1-Hypothèses!$C$14)</f>
        <v>447.562279718571</v>
      </c>
      <c r="U50" s="35" t="n">
        <f aca="false">U49*Hypothèses!$C$9*Hypothèses!$C$13*(1-Hypothèses!$C$14)</f>
        <v>452.037902515757</v>
      </c>
      <c r="V50" s="35" t="n">
        <f aca="false">V49*Hypothèses!$C$9*Hypothèses!$C$13*(1-Hypothèses!$C$14)</f>
        <v>456.558281540915</v>
      </c>
      <c r="W50" s="35" t="n">
        <f aca="false">W49*Hypothèses!$C$9*Hypothèses!$C$13*(1-Hypothèses!$C$14)</f>
        <v>461.123864356324</v>
      </c>
      <c r="X50" s="35" t="n">
        <f aca="false">X49*Hypothèses!$C$9*Hypothèses!$C$13*(1-Hypothèses!$C$14)</f>
        <v>465.735102999887</v>
      </c>
      <c r="Y50" s="35" t="n">
        <f aca="false">Y49*Hypothèses!$C$9*Hypothèses!$C$13*(1-Hypothèses!$C$14)</f>
        <v>470.392454029886</v>
      </c>
      <c r="Z50" s="35" t="n">
        <f aca="false">Z49*Hypothèses!$C$9*Hypothèses!$C$13*(1-Hypothèses!$C$14)</f>
        <v>475.096378570184</v>
      </c>
      <c r="AA50" s="35" t="n">
        <f aca="false">AA49*Hypothèses!$C$9*Hypothèses!$C$13*(1-Hypothèses!$C$14)</f>
        <v>479.847342355886</v>
      </c>
      <c r="AB50" s="35" t="n">
        <f aca="false">AB49*Hypothèses!$C$9*Hypothèses!$C$13*(1-Hypothèses!$C$14)</f>
        <v>484.645815779445</v>
      </c>
      <c r="AC50" s="35" t="n">
        <f aca="false">AC49*Hypothèses!$C$9*Hypothèses!$C$13*(1-Hypothèses!$C$14)</f>
        <v>489.492273937239</v>
      </c>
      <c r="AD50" s="35" t="n">
        <f aca="false">AD49*Hypothèses!$C$9*Hypothèses!$C$13*(1-Hypothèses!$C$14)</f>
        <v>494.387196676611</v>
      </c>
      <c r="AE50" s="35" t="n">
        <f aca="false">AE49*Hypothèses!$C$9*Hypothèses!$C$13*(1-Hypothèses!$C$14)</f>
        <v>499.331068643377</v>
      </c>
      <c r="AF50" s="35" t="n">
        <f aca="false">AF49*Hypothèses!$C$9*Hypothèses!$C$13*(1-Hypothèses!$C$14)</f>
        <v>504.324379329811</v>
      </c>
      <c r="AG50" s="35" t="n">
        <f aca="false">AG49*Hypothèses!$C$9*Hypothèses!$C$13*(1-Hypothèses!$C$14)</f>
        <v>509.367623123109</v>
      </c>
      <c r="AH50" s="35" t="n">
        <f aca="false">AH49*Hypothèses!$C$9*Hypothèses!$C$13*(1-Hypothèses!$C$14)</f>
        <v>514.46129935434</v>
      </c>
    </row>
    <row r="51" customFormat="false" ht="13.5" hidden="false" customHeight="true" outlineLevel="0" collapsed="false">
      <c r="B51" s="4" t="s">
        <v>128</v>
      </c>
      <c r="C51" s="25" t="s">
        <v>78</v>
      </c>
      <c r="D51" s="47" t="n">
        <f aca="false">D46*(1-Hypothèses!$C$14*0.3)-D10*IFERROR(D8/D7,1)</f>
        <v>-20.94475</v>
      </c>
      <c r="E51" s="47" t="n">
        <f aca="false">E46*(1-Hypothèses!$C$14*0.3)-E10*IFERROR(E8/E7,1)</f>
        <v>46.1945926089972</v>
      </c>
      <c r="F51" s="47" t="n">
        <f aca="false">F46*(1-Hypothèses!$C$14*0.3)-F10*IFERROR(F8/F7,1)</f>
        <v>48.0216846317341</v>
      </c>
      <c r="G51" s="47" t="n">
        <f aca="false">G46*(1-Hypothèses!$C$14*0.3)-G10*IFERROR(G8/G7,1)</f>
        <v>49.9331427875176</v>
      </c>
      <c r="H51" s="47" t="n">
        <f aca="false">H46*(1-Hypothèses!$C$14*0.3)-H10*IFERROR(H8/H7,1)</f>
        <v>51.9323789385097</v>
      </c>
      <c r="I51" s="47" t="n">
        <f aca="false">I46*(1-Hypothèses!$C$14*0.3)-I10*IFERROR(I8/I7,1)</f>
        <v>54.022934636784</v>
      </c>
      <c r="J51" s="47" t="n">
        <f aca="false">J46*(1-Hypothèses!$C$14*0.3)-J10*IFERROR(J8/J7,1)</f>
        <v>56.2084861433687</v>
      </c>
      <c r="K51" s="47" t="n">
        <f aca="false">K46*(1-Hypothèses!$C$14*0.3)-K10*IFERROR(K8/K7,1)</f>
        <v>58.4928496589664</v>
      </c>
      <c r="L51" s="47" t="n">
        <f aca="false">L46*(1-Hypothèses!$C$14*0.3)-L10*IFERROR(L8/L7,1)</f>
        <v>60.8799867765886</v>
      </c>
      <c r="M51" s="47" t="n">
        <f aca="false">M46*(1-Hypothèses!$C$14*0.3)-M10*IFERROR(M8/M7,1)</f>
        <v>63.3740101669216</v>
      </c>
      <c r="N51" s="47" t="n">
        <f aca="false">N46*(1-Hypothèses!$C$14*0.3)-N10*IFERROR(N8/N7,1)</f>
        <v>65.9791895078669</v>
      </c>
      <c r="O51" s="47" t="n">
        <f aca="false">O46*(1-Hypothèses!$C$14*0.3)-O10*IFERROR(O8/O7,1)</f>
        <v>68.6999576703533</v>
      </c>
      <c r="P51" s="47" t="n">
        <f aca="false">P46*(1-Hypothèses!$C$14*0.3)-P10*IFERROR(P8/P7,1)</f>
        <v>71.5409171732329</v>
      </c>
      <c r="Q51" s="47" t="n">
        <f aca="false">Q46*(1-Hypothèses!$C$14*0.3)-Q10*IFERROR(Q8/Q7,1)</f>
        <v>74.506846920823</v>
      </c>
      <c r="R51" s="47" t="n">
        <f aca="false">R46*(1-Hypothèses!$C$14*0.3)-R10*IFERROR(R8/R7,1)</f>
        <v>77.60270923747</v>
      </c>
      <c r="S51" s="47" t="n">
        <f aca="false">S46*(1-Hypothèses!$C$14*0.3)-S10*IFERROR(S8/S7,1)</f>
        <v>80.833657214367</v>
      </c>
      <c r="T51" s="47" t="n">
        <f aca="false">T46*(1-Hypothèses!$C$14*0.3)-T10*IFERROR(T8/T7,1)</f>
        <v>82.4805863842059</v>
      </c>
      <c r="U51" s="47" t="n">
        <f aca="false">U46*(1-Hypothèses!$C$14*0.3)-U10*IFERROR(U8/U7,1)</f>
        <v>84.1872801785462</v>
      </c>
      <c r="V51" s="47" t="n">
        <f aca="false">V46*(1-Hypothèses!$C$14*0.3)-V10*IFERROR(V8/V7,1)</f>
        <v>85.9559740994006</v>
      </c>
      <c r="W51" s="47" t="n">
        <f aca="false">W46*(1-Hypothèses!$C$14*0.3)-W10*IFERROR(W8/W7,1)</f>
        <v>87.7889816008708</v>
      </c>
      <c r="X51" s="47" t="n">
        <f aca="false">X46*(1-Hypothèses!$C$14*0.3)-X10*IFERROR(X8/X7,1)</f>
        <v>89.6886967057807</v>
      </c>
      <c r="Y51" s="47" t="n">
        <f aca="false">Y46*(1-Hypothèses!$C$14*0.3)-Y10*IFERROR(Y8/Y7,1)</f>
        <v>91.6575967107212</v>
      </c>
      <c r="Z51" s="47" t="n">
        <f aca="false">Z46*(1-Hypothèses!$C$14*0.3)-Z10*IFERROR(Z8/Z7,1)</f>
        <v>93.6982449826416</v>
      </c>
      <c r="AA51" s="47" t="n">
        <f aca="false">AA46*(1-Hypothèses!$C$14*0.3)-AA10*IFERROR(AA8/AA7,1)</f>
        <v>95.813293850245</v>
      </c>
      <c r="AB51" s="47" t="n">
        <f aca="false">AB46*(1-Hypothèses!$C$14*0.3)-AB10*IFERROR(AB8/AB7,1)</f>
        <v>98.0054875935755</v>
      </c>
      <c r="AC51" s="47" t="n">
        <f aca="false">AC46*(1-Hypothèses!$C$14*0.3)-AC10*IFERROR(AC8/AC7,1)</f>
        <v>100.277665535311</v>
      </c>
      <c r="AD51" s="47" t="n">
        <f aca="false">AD46*(1-Hypothèses!$C$14*0.3)-AD10*IFERROR(AD8/AD7,1)</f>
        <v>99.9608438535056</v>
      </c>
      <c r="AE51" s="47" t="n">
        <f aca="false">AE46*(1-Hypothèses!$C$14*0.3)-AE10*IFERROR(AE8/AE7,1)</f>
        <v>99.613075693494</v>
      </c>
      <c r="AF51" s="47" t="n">
        <f aca="false">AF46*(1-Hypothèses!$C$14*0.3)-AF10*IFERROR(AF8/AF7,1)</f>
        <v>99.2335404907432</v>
      </c>
      <c r="AG51" s="47" t="n">
        <f aca="false">AG46*(1-Hypothèses!$C$14*0.3)-AG10*IFERROR(AG8/AG7,1)</f>
        <v>98.8214010939668</v>
      </c>
      <c r="AH51" s="47" t="n">
        <f aca="false">AH46*(1-Hypothèses!$C$14*0.3)-AH10*IFERROR(AH8/AH7,1)</f>
        <v>98.3758034810999</v>
      </c>
    </row>
    <row r="52" customFormat="false" ht="13.5" hidden="false" customHeight="true" outlineLevel="0" collapsed="false">
      <c r="B52" s="4" t="s">
        <v>129</v>
      </c>
      <c r="C52" s="25"/>
      <c r="D52" s="40" t="str">
        <f aca="false">IF(D51&lt;-Hypothèses!$C$22*0.5,"⛔ RUPTURE","✓ Absorbable")</f>
        <v>⛔ RUPTURE</v>
      </c>
      <c r="E52" s="40" t="str">
        <f aca="false">IF(E51&lt;-Hypothèses!$C$22*0.5,"⛔ RUPTURE","✓ Absorbable")</f>
        <v>✓ Absorbable</v>
      </c>
      <c r="F52" s="40" t="str">
        <f aca="false">IF(F51&lt;-Hypothèses!$C$22*0.5,"⛔ RUPTURE","✓ Absorbable")</f>
        <v>✓ Absorbable</v>
      </c>
      <c r="G52" s="40" t="str">
        <f aca="false">IF(G51&lt;-Hypothèses!$C$22*0.5,"⛔ RUPTURE","✓ Absorbable")</f>
        <v>✓ Absorbable</v>
      </c>
      <c r="H52" s="40" t="str">
        <f aca="false">IF(H51&lt;-Hypothèses!$C$22*0.5,"⛔ RUPTURE","✓ Absorbable")</f>
        <v>✓ Absorbable</v>
      </c>
      <c r="I52" s="40" t="str">
        <f aca="false">IF(I51&lt;-Hypothèses!$C$22*0.5,"⛔ RUPTURE","✓ Absorbable")</f>
        <v>✓ Absorbable</v>
      </c>
      <c r="J52" s="40" t="str">
        <f aca="false">IF(J51&lt;-Hypothèses!$C$22*0.5,"⛔ RUPTURE","✓ Absorbable")</f>
        <v>✓ Absorbable</v>
      </c>
      <c r="K52" s="40" t="str">
        <f aca="false">IF(K51&lt;-Hypothèses!$C$22*0.5,"⛔ RUPTURE","✓ Absorbable")</f>
        <v>✓ Absorbable</v>
      </c>
      <c r="L52" s="40" t="str">
        <f aca="false">IF(L51&lt;-Hypothèses!$C$22*0.5,"⛔ RUPTURE","✓ Absorbable")</f>
        <v>✓ Absorbable</v>
      </c>
      <c r="M52" s="40" t="str">
        <f aca="false">IF(M51&lt;-Hypothèses!$C$22*0.5,"⛔ RUPTURE","✓ Absorbable")</f>
        <v>✓ Absorbable</v>
      </c>
      <c r="N52" s="40" t="str">
        <f aca="false">IF(N51&lt;-Hypothèses!$C$22*0.5,"⛔ RUPTURE","✓ Absorbable")</f>
        <v>✓ Absorbable</v>
      </c>
      <c r="O52" s="40" t="str">
        <f aca="false">IF(O51&lt;-Hypothèses!$C$22*0.5,"⛔ RUPTURE","✓ Absorbable")</f>
        <v>✓ Absorbable</v>
      </c>
      <c r="P52" s="40" t="str">
        <f aca="false">IF(P51&lt;-Hypothèses!$C$22*0.5,"⛔ RUPTURE","✓ Absorbable")</f>
        <v>✓ Absorbable</v>
      </c>
      <c r="Q52" s="40" t="str">
        <f aca="false">IF(Q51&lt;-Hypothèses!$C$22*0.5,"⛔ RUPTURE","✓ Absorbable")</f>
        <v>✓ Absorbable</v>
      </c>
      <c r="R52" s="40" t="str">
        <f aca="false">IF(R51&lt;-Hypothèses!$C$22*0.5,"⛔ RUPTURE","✓ Absorbable")</f>
        <v>✓ Absorbable</v>
      </c>
      <c r="S52" s="40" t="str">
        <f aca="false">IF(S51&lt;-Hypothèses!$C$22*0.5,"⛔ RUPTURE","✓ Absorbable")</f>
        <v>✓ Absorbable</v>
      </c>
      <c r="T52" s="40" t="str">
        <f aca="false">IF(T51&lt;-Hypothèses!$C$22*0.5,"⛔ RUPTURE","✓ Absorbable")</f>
        <v>✓ Absorbable</v>
      </c>
      <c r="U52" s="40" t="str">
        <f aca="false">IF(U51&lt;-Hypothèses!$C$22*0.5,"⛔ RUPTURE","✓ Absorbable")</f>
        <v>✓ Absorbable</v>
      </c>
      <c r="V52" s="40" t="str">
        <f aca="false">IF(V51&lt;-Hypothèses!$C$22*0.5,"⛔ RUPTURE","✓ Absorbable")</f>
        <v>✓ Absorbable</v>
      </c>
      <c r="W52" s="40" t="str">
        <f aca="false">IF(W51&lt;-Hypothèses!$C$22*0.5,"⛔ RUPTURE","✓ Absorbable")</f>
        <v>✓ Absorbable</v>
      </c>
      <c r="X52" s="40" t="str">
        <f aca="false">IF(X51&lt;-Hypothèses!$C$22*0.5,"⛔ RUPTURE","✓ Absorbable")</f>
        <v>✓ Absorbable</v>
      </c>
      <c r="Y52" s="40" t="str">
        <f aca="false">IF(Y51&lt;-Hypothèses!$C$22*0.5,"⛔ RUPTURE","✓ Absorbable")</f>
        <v>✓ Absorbable</v>
      </c>
      <c r="Z52" s="40" t="str">
        <f aca="false">IF(Z51&lt;-Hypothèses!$C$22*0.5,"⛔ RUPTURE","✓ Absorbable")</f>
        <v>✓ Absorbable</v>
      </c>
      <c r="AA52" s="40" t="str">
        <f aca="false">IF(AA51&lt;-Hypothèses!$C$22*0.5,"⛔ RUPTURE","✓ Absorbable")</f>
        <v>✓ Absorbable</v>
      </c>
      <c r="AB52" s="40" t="str">
        <f aca="false">IF(AB51&lt;-Hypothèses!$C$22*0.5,"⛔ RUPTURE","✓ Absorbable")</f>
        <v>✓ Absorbable</v>
      </c>
      <c r="AC52" s="40" t="str">
        <f aca="false">IF(AC51&lt;-Hypothèses!$C$22*0.5,"⛔ RUPTURE","✓ Absorbable")</f>
        <v>✓ Absorbable</v>
      </c>
      <c r="AD52" s="40" t="str">
        <f aca="false">IF(AD51&lt;-Hypothèses!$C$22*0.5,"⛔ RUPTURE","✓ Absorbable")</f>
        <v>✓ Absorbable</v>
      </c>
      <c r="AE52" s="40" t="str">
        <f aca="false">IF(AE51&lt;-Hypothèses!$C$22*0.5,"⛔ RUPTURE","✓ Absorbable")</f>
        <v>✓ Absorbable</v>
      </c>
      <c r="AF52" s="40" t="str">
        <f aca="false">IF(AF51&lt;-Hypothèses!$C$22*0.5,"⛔ RUPTURE","✓ Absorbable")</f>
        <v>✓ Absorbable</v>
      </c>
      <c r="AG52" s="40" t="str">
        <f aca="false">IF(AG51&lt;-Hypothèses!$C$22*0.5,"⛔ RUPTURE","✓ Absorbable")</f>
        <v>✓ Absorbable</v>
      </c>
      <c r="AH52" s="40" t="str">
        <f aca="false">IF(AH51&lt;-Hypothèses!$C$22*0.5,"⛔ RUPTURE","✓ Absorbable")</f>
        <v>✓ Absorbable</v>
      </c>
    </row>
  </sheetData>
  <mergeCells count="10">
    <mergeCell ref="B1:AH1"/>
    <mergeCell ref="B3:AH3"/>
    <mergeCell ref="B6:AH6"/>
    <mergeCell ref="B9:AH9"/>
    <mergeCell ref="B15:AH15"/>
    <mergeCell ref="B17:AH17"/>
    <mergeCell ref="B23:AH23"/>
    <mergeCell ref="B35:AH35"/>
    <mergeCell ref="B39:AH39"/>
    <mergeCell ref="B44:A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800"/>
    <pageSetUpPr fitToPage="false"/>
  </sheetPr>
  <dimension ref="B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B1" s="1" t="s">
        <v>130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48" t="s">
        <v>131</v>
      </c>
      <c r="C2" s="49" t="n">
        <v>2035</v>
      </c>
      <c r="D2" s="50" t="s">
        <v>132</v>
      </c>
    </row>
    <row r="3" customFormat="false" ht="15" hidden="false" customHeight="false" outlineLevel="0" collapsed="false">
      <c r="B3" s="48" t="s">
        <v>133</v>
      </c>
      <c r="C3" s="51" t="n">
        <f aca="false">IFERROR(INDEX(Modèle_30ans!D:AH,31,MATCH(C2,Modèle_30ans!D2:AH2,0)),0)</f>
        <v>0</v>
      </c>
    </row>
    <row r="5" customFormat="false" ht="27.75" hidden="false" customHeight="true" outlineLevel="0" collapsed="false">
      <c r="B5" s="52" t="s">
        <v>134</v>
      </c>
      <c r="C5" s="52" t="s">
        <v>135</v>
      </c>
      <c r="D5" s="52" t="s">
        <v>136</v>
      </c>
      <c r="E5" s="52" t="s">
        <v>137</v>
      </c>
      <c r="F5" s="52" t="s">
        <v>138</v>
      </c>
      <c r="G5" s="52" t="s">
        <v>139</v>
      </c>
      <c r="H5" s="52" t="s">
        <v>140</v>
      </c>
    </row>
    <row r="6" customFormat="false" ht="15" hidden="false" customHeight="false" outlineLevel="0" collapsed="false">
      <c r="B6" s="53" t="s">
        <v>63</v>
      </c>
      <c r="C6" s="54" t="n">
        <f aca="false">Hypothèses!$C$40</f>
        <v>800</v>
      </c>
      <c r="D6" s="55" t="n">
        <f aca="false">Hypothèses!$D$40</f>
        <v>0</v>
      </c>
      <c r="E6" s="56" t="n">
        <f aca="false">$C$3</f>
        <v>0</v>
      </c>
      <c r="F6" s="56" t="n">
        <f aca="false">E6*D6</f>
        <v>0</v>
      </c>
      <c r="G6" s="57" t="n">
        <f aca="false">C6*F6</f>
        <v>0</v>
      </c>
      <c r="H6" s="58" t="n">
        <f aca="false">IFERROR(G6/C6,0)</f>
        <v>0</v>
      </c>
    </row>
    <row r="7" customFormat="false" ht="15" hidden="false" customHeight="false" outlineLevel="0" collapsed="false">
      <c r="B7" s="53" t="s">
        <v>64</v>
      </c>
      <c r="C7" s="54" t="n">
        <f aca="false">Hypothèses!$C$41</f>
        <v>1100</v>
      </c>
      <c r="D7" s="55" t="n">
        <f aca="false">Hypothèses!$D$41</f>
        <v>0</v>
      </c>
      <c r="E7" s="56" t="n">
        <f aca="false">$C$3</f>
        <v>0</v>
      </c>
      <c r="F7" s="56" t="n">
        <f aca="false">E7*D7</f>
        <v>0</v>
      </c>
      <c r="G7" s="57" t="n">
        <f aca="false">C7*F7</f>
        <v>0</v>
      </c>
      <c r="H7" s="58" t="n">
        <f aca="false">IFERROR(G7/C7,0)</f>
        <v>0</v>
      </c>
    </row>
    <row r="8" customFormat="false" ht="15" hidden="false" customHeight="false" outlineLevel="0" collapsed="false">
      <c r="B8" s="53" t="s">
        <v>65</v>
      </c>
      <c r="C8" s="54" t="n">
        <f aca="false">Hypothèses!$C$42</f>
        <v>1350</v>
      </c>
      <c r="D8" s="55" t="n">
        <f aca="false">Hypothèses!$D$42</f>
        <v>0</v>
      </c>
      <c r="E8" s="56" t="n">
        <f aca="false">$C$3</f>
        <v>0</v>
      </c>
      <c r="F8" s="56" t="n">
        <f aca="false">E8*D8</f>
        <v>0</v>
      </c>
      <c r="G8" s="57" t="n">
        <f aca="false">C8*F8</f>
        <v>0</v>
      </c>
      <c r="H8" s="58" t="n">
        <f aca="false">IFERROR(G8/C8,0)</f>
        <v>0</v>
      </c>
    </row>
    <row r="9" customFormat="false" ht="15" hidden="false" customHeight="false" outlineLevel="0" collapsed="false">
      <c r="B9" s="53" t="s">
        <v>66</v>
      </c>
      <c r="C9" s="54" t="n">
        <f aca="false">Hypothèses!$C$43</f>
        <v>1580</v>
      </c>
      <c r="D9" s="55" t="n">
        <f aca="false">Hypothèses!$D$43</f>
        <v>0</v>
      </c>
      <c r="E9" s="56" t="n">
        <f aca="false">$C$3</f>
        <v>0</v>
      </c>
      <c r="F9" s="56" t="n">
        <f aca="false">E9*D9</f>
        <v>0</v>
      </c>
      <c r="G9" s="57" t="n">
        <f aca="false">C9*F9</f>
        <v>0</v>
      </c>
      <c r="H9" s="58" t="n">
        <f aca="false">IFERROR(G9/C9,0)</f>
        <v>0</v>
      </c>
    </row>
    <row r="10" customFormat="false" ht="15" hidden="false" customHeight="false" outlineLevel="0" collapsed="false">
      <c r="B10" s="59" t="s">
        <v>67</v>
      </c>
      <c r="C10" s="60" t="n">
        <f aca="false">Hypothèses!$C$44</f>
        <v>1900</v>
      </c>
      <c r="D10" s="61" t="n">
        <f aca="false">Hypothèses!$D$44</f>
        <v>0.15</v>
      </c>
      <c r="E10" s="62" t="n">
        <f aca="false">$C$3</f>
        <v>0</v>
      </c>
      <c r="F10" s="62" t="n">
        <f aca="false">E10*D10</f>
        <v>0</v>
      </c>
      <c r="G10" s="63" t="n">
        <f aca="false">C10*F10</f>
        <v>0</v>
      </c>
      <c r="H10" s="64" t="n">
        <f aca="false">IFERROR(G10/C10,0)</f>
        <v>0</v>
      </c>
    </row>
    <row r="11" customFormat="false" ht="15" hidden="false" customHeight="false" outlineLevel="0" collapsed="false">
      <c r="B11" s="59" t="s">
        <v>68</v>
      </c>
      <c r="C11" s="60" t="n">
        <f aca="false">Hypothèses!$C$45</f>
        <v>2350</v>
      </c>
      <c r="D11" s="61" t="n">
        <f aca="false">Hypothèses!$D$45</f>
        <v>0.25</v>
      </c>
      <c r="E11" s="62" t="n">
        <f aca="false">$C$3</f>
        <v>0</v>
      </c>
      <c r="F11" s="62" t="n">
        <f aca="false">E11*D11</f>
        <v>0</v>
      </c>
      <c r="G11" s="63" t="n">
        <f aca="false">C11*F11</f>
        <v>0</v>
      </c>
      <c r="H11" s="64" t="n">
        <f aca="false">IFERROR(G11/C11,0)</f>
        <v>0</v>
      </c>
    </row>
    <row r="12" customFormat="false" ht="15" hidden="false" customHeight="false" outlineLevel="0" collapsed="false">
      <c r="B12" s="59" t="s">
        <v>69</v>
      </c>
      <c r="C12" s="60" t="n">
        <f aca="false">Hypothèses!$C$46</f>
        <v>2980</v>
      </c>
      <c r="D12" s="61" t="n">
        <f aca="false">Hypothèses!$D$46</f>
        <v>0.4</v>
      </c>
      <c r="E12" s="62" t="n">
        <f aca="false">$C$3</f>
        <v>0</v>
      </c>
      <c r="F12" s="62" t="n">
        <f aca="false">E12*D12</f>
        <v>0</v>
      </c>
      <c r="G12" s="63" t="n">
        <f aca="false">C12*F12</f>
        <v>0</v>
      </c>
      <c r="H12" s="64" t="n">
        <f aca="false">IFERROR(G12/C12,0)</f>
        <v>0</v>
      </c>
    </row>
    <row r="13" customFormat="false" ht="15" hidden="false" customHeight="false" outlineLevel="0" collapsed="false">
      <c r="B13" s="65" t="s">
        <v>70</v>
      </c>
      <c r="C13" s="66" t="n">
        <f aca="false">Hypothèses!$C$47</f>
        <v>4100</v>
      </c>
      <c r="D13" s="67" t="n">
        <f aca="false">Hypothèses!$D$47</f>
        <v>0.65</v>
      </c>
      <c r="E13" s="68" t="n">
        <f aca="false">$C$3</f>
        <v>0</v>
      </c>
      <c r="F13" s="68" t="n">
        <f aca="false">E13*D13</f>
        <v>0</v>
      </c>
      <c r="G13" s="69" t="n">
        <f aca="false">C13*F13</f>
        <v>0</v>
      </c>
      <c r="H13" s="70" t="n">
        <f aca="false">IFERROR(G13/C13,0)</f>
        <v>0</v>
      </c>
    </row>
    <row r="14" customFormat="false" ht="15" hidden="false" customHeight="false" outlineLevel="0" collapsed="false">
      <c r="B14" s="65" t="s">
        <v>71</v>
      </c>
      <c r="C14" s="66" t="n">
        <f aca="false">Hypothèses!$C$48</f>
        <v>6000</v>
      </c>
      <c r="D14" s="67" t="n">
        <f aca="false">Hypothèses!$D$48</f>
        <v>0.85</v>
      </c>
      <c r="E14" s="68" t="n">
        <f aca="false">$C$3</f>
        <v>0</v>
      </c>
      <c r="F14" s="68" t="n">
        <f aca="false">E14*D14</f>
        <v>0</v>
      </c>
      <c r="G14" s="69" t="n">
        <f aca="false">C14*F14</f>
        <v>0</v>
      </c>
      <c r="H14" s="70" t="n">
        <f aca="false">IFERROR(G14/C14,0)</f>
        <v>0</v>
      </c>
    </row>
    <row r="15" customFormat="false" ht="15" hidden="false" customHeight="false" outlineLevel="0" collapsed="false">
      <c r="B15" s="65" t="s">
        <v>72</v>
      </c>
      <c r="C15" s="66" t="n">
        <f aca="false">Hypothèses!$C$49</f>
        <v>9500</v>
      </c>
      <c r="D15" s="67" t="n">
        <f aca="false">Hypothèses!$D$49</f>
        <v>1.2</v>
      </c>
      <c r="E15" s="68" t="n">
        <f aca="false">$C$3</f>
        <v>0</v>
      </c>
      <c r="F15" s="68" t="n">
        <f aca="false">E15*D15</f>
        <v>0</v>
      </c>
      <c r="G15" s="69" t="n">
        <f aca="false">C15*F15</f>
        <v>0</v>
      </c>
      <c r="H15" s="70" t="n">
        <f aca="false">IFERROR(G15/C15,0)</f>
        <v>0</v>
      </c>
    </row>
    <row r="17" customFormat="false" ht="15" hidden="false" customHeight="false" outlineLevel="0" collapsed="false">
      <c r="B17" s="50" t="s">
        <v>141</v>
      </c>
    </row>
  </sheetData>
  <mergeCells count="1">
    <mergeCell ref="B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2026-06-06T14:43:25Z</dcterms:created>
  <dc:creator>openpyxl</dc:creator>
  <dc:description/>
  <dc:language>en-US</dc:language>
  <cp:lastModifiedBy/>
  <dcterms:modified xsi:type="dcterms:W3CDTF">2026-06-06T14:43:25Z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